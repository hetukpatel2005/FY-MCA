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etuk\Business Statistics\"/>
    </mc:Choice>
  </mc:AlternateContent>
  <xr:revisionPtr revIDLastSave="0" documentId="13_ncr:1_{8A0DE0FA-1C72-4C75-81BD-6FA7D3365B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ng Distance Tele Bills Data" sheetId="1" r:id="rId1"/>
    <sheet name="Apartment Rents" sheetId="2" r:id="rId2"/>
    <sheet name="Salary" sheetId="3" r:id="rId3"/>
    <sheet name="Restaurants" sheetId="4" r:id="rId4"/>
  </sheets>
  <definedNames>
    <definedName name="_xlchart.v1.0" hidden="1">'Long Distance Tele Bills Data'!$A$1</definedName>
    <definedName name="_xlchart.v1.1" hidden="1">'Long Distance Tele Bills Data'!$A$2:$A$202</definedName>
    <definedName name="_xlchart.v1.10" hidden="1">Salary!$C$1</definedName>
    <definedName name="_xlchart.v1.11" hidden="1">Salary!$C$2:$C$26</definedName>
    <definedName name="_xlchart.v1.12" hidden="1">Salary!$D$1</definedName>
    <definedName name="_xlchart.v1.13" hidden="1">Salary!$D$2:$D$26</definedName>
    <definedName name="_xlchart.v1.14" hidden="1">Salary!$E$1</definedName>
    <definedName name="_xlchart.v1.15" hidden="1">Salary!$E$2:$E$26</definedName>
    <definedName name="_xlchart.v1.16" hidden="1">Salary!$A$1</definedName>
    <definedName name="_xlchart.v1.17" hidden="1">Salary!$A$2:$A$26</definedName>
    <definedName name="_xlchart.v1.18" hidden="1">Salary!$B$1</definedName>
    <definedName name="_xlchart.v1.19" hidden="1">Salary!$B$2:$B$26</definedName>
    <definedName name="_xlchart.v1.2" hidden="1">'Long Distance Tele Bills Data'!$A$1</definedName>
    <definedName name="_xlchart.v1.20" hidden="1">Salary!$C$1</definedName>
    <definedName name="_xlchart.v1.21" hidden="1">Salary!$C$2:$C$26</definedName>
    <definedName name="_xlchart.v1.22" hidden="1">Salary!$D$1</definedName>
    <definedName name="_xlchart.v1.23" hidden="1">Salary!$D$2:$D$26</definedName>
    <definedName name="_xlchart.v1.24" hidden="1">Salary!$E$1</definedName>
    <definedName name="_xlchart.v1.25" hidden="1">Salary!$E$2:$E$26</definedName>
    <definedName name="_xlchart.v1.3" hidden="1">'Long Distance Tele Bills Data'!$A$2:$A$202</definedName>
    <definedName name="_xlchart.v1.4" hidden="1">'Apartment Rents'!$A$1</definedName>
    <definedName name="_xlchart.v1.5" hidden="1">'Apartment Rents'!$A$2:$A$67</definedName>
    <definedName name="_xlchart.v1.6" hidden="1">Salary!$A$1</definedName>
    <definedName name="_xlchart.v1.7" hidden="1">Salary!$A$2:$A$26</definedName>
    <definedName name="_xlchart.v1.8" hidden="1">Salary!$B$1</definedName>
    <definedName name="_xlchart.v1.9" hidden="1">Salary!$B$2:$B$26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3" l="1"/>
  <c r="T7" i="3"/>
  <c r="T5" i="3"/>
  <c r="Q8" i="3"/>
  <c r="Q7" i="3"/>
  <c r="N8" i="3"/>
  <c r="N7" i="3"/>
  <c r="K8" i="3"/>
  <c r="K7" i="3"/>
  <c r="T4" i="3"/>
  <c r="T3" i="3"/>
  <c r="T2" i="3"/>
  <c r="Q5" i="3"/>
  <c r="Q4" i="3"/>
  <c r="Q3" i="3"/>
  <c r="Q2" i="3"/>
  <c r="N4" i="3"/>
  <c r="N5" i="3" s="1"/>
  <c r="N3" i="3"/>
  <c r="N2" i="3"/>
  <c r="K4" i="3"/>
  <c r="K5" i="3" s="1"/>
  <c r="K3" i="3"/>
  <c r="K2" i="3"/>
  <c r="H4" i="3"/>
  <c r="H5" i="3" s="1"/>
  <c r="H3" i="3"/>
  <c r="H2" i="3"/>
  <c r="D3" i="2"/>
  <c r="D4" i="2"/>
  <c r="D2" i="2"/>
  <c r="H7" i="3" l="1"/>
  <c r="H8" i="3"/>
  <c r="D5" i="2"/>
  <c r="D6" i="2" s="1"/>
  <c r="D7" i="2" l="1"/>
  <c r="D5" i="1" l="1"/>
  <c r="D4" i="1"/>
  <c r="D3" i="1"/>
  <c r="D7" i="1" l="1"/>
  <c r="D9" i="1" s="1"/>
  <c r="D10" i="1" l="1"/>
</calcChain>
</file>

<file path=xl/sharedStrings.xml><?xml version="1.0" encoding="utf-8"?>
<sst xmlns="http://schemas.openxmlformats.org/spreadsheetml/2006/main" count="157" uniqueCount="33">
  <si>
    <t>Bills</t>
  </si>
  <si>
    <t>Rent</t>
  </si>
  <si>
    <t>Finance</t>
  </si>
  <si>
    <t>Marketing</t>
  </si>
  <si>
    <t>Business Analytics</t>
  </si>
  <si>
    <t>HR</t>
  </si>
  <si>
    <t>Data Science</t>
  </si>
  <si>
    <t>Popeyes</t>
  </si>
  <si>
    <t>Wendys</t>
  </si>
  <si>
    <t>McDonalds</t>
  </si>
  <si>
    <t>Hardees</t>
  </si>
  <si>
    <t>Jack in Box</t>
  </si>
  <si>
    <t>Q1</t>
  </si>
  <si>
    <t>Q2</t>
  </si>
  <si>
    <t>Q3</t>
  </si>
  <si>
    <t>IQR</t>
  </si>
  <si>
    <t>Lower Limit</t>
  </si>
  <si>
    <t>Upper Limit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</si>
  <si>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</si>
  <si>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</si>
  <si>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</si>
  <si>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</si>
  <si>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</si>
  <si>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</si>
  <si>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</si>
  <si>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</si>
  <si>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</si>
  <si>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</si>
  <si>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</si>
  <si>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</si>
  <si>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</si>
  <si>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Upper limit</t>
  </si>
  <si>
    <t>Bussines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</si>
</sst>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Continuous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Bills</a:t>
          </a:r>
        </a:p>
      </cx:txPr>
    </cx:title>
    <cx:plotArea>
      <cx:plotAreaRegion>
        <cx:series layoutId="boxWhisker" uniqueId="{00000000-44E6-4BF9-9A99-003C47797459}">
          <cx:tx>
            <cx:txData>
              <cx:f>_xlchart.v1.2</cx:f>
              <cx:v>Bills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Rent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Rent</a:t>
          </a:r>
        </a:p>
      </cx:txPr>
    </cx:title>
    <cx:plotArea>
      <cx:plotAreaRegion>
        <cx:series layoutId="boxWhisker" uniqueId="{00000000-05CA-4044-9483-F381634B951A}">
          <cx:tx>
            <cx:txData>
              <cx:f>_xlchart.v1.4</cx:f>
              <cx:v>Rent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  <cx:data id="4">
      <cx:numDim type="val">
        <cx:f>_xlchart.v1.25</cx:f>
      </cx:numDim>
    </cx:data>
  </cx:chartData>
  <cx:chart>
    <cx:title pos="t" align="ctr" overlay="0">
      <cx:tx>
        <cx:txData>
          <cx:v>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</a:t>
          </a:r>
        </a:p>
      </cx:txPr>
    </cx:title>
    <cx:plotArea>
      <cx:plotAreaRegion>
        <cx:series layoutId="boxWhisker" uniqueId="{00000000-D8F4-4461-B512-A0F0E594610D}">
          <cx:tx>
            <cx:txData>
              <cx:f>_xlchart.v1.16</cx:f>
              <cx:v>Finance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8F4-4461-B512-A0F0E594610D}">
          <cx:tx>
            <cx:txData>
              <cx:f>_xlchart.v1.18</cx:f>
              <cx:v>Marketing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D8F4-4461-B512-A0F0E594610D}">
          <cx:tx>
            <cx:txData>
              <cx:f>_xlchart.v1.20</cx:f>
              <cx:v>Business Analytics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D8F4-4461-B512-A0F0E594610D}">
          <cx:tx>
            <cx:txData>
              <cx:f>_xlchart.v1.22</cx:f>
              <cx:v>HR</cx:v>
            </cx:txData>
          </cx:tx>
          <cx:dataLabels>
            <cx:visibility seriesName="0" categoryName="0" value="1"/>
          </cx:dataLabels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D8F4-4461-B512-A0F0E594610D}">
          <cx:tx>
            <cx:txData>
              <cx:f>_xlchart.v1.24</cx:f>
              <cx:v>Data Science</cx:v>
            </cx:txData>
          </cx:tx>
          <cx:dataLabels>
            <cx:visibility seriesName="0" categoryName="0" value="1"/>
          </cx:dataLabels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272761</xdr:colOff>
      <xdr:row>9</xdr:row>
      <xdr:rowOff>109105</xdr:rowOff>
    </xdr:from>
    <xdr:to>
      <xdr:col>15</xdr:col>
      <xdr:colOff>601806</xdr:colOff>
      <xdr:row>23</xdr:row>
      <xdr:rowOff>185305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AAD1ED-0343-A6AA-B962-25603DCFF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5920" y="182360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5</xdr:row>
      <xdr:rowOff>71437</xdr:rowOff>
    </xdr:from>
    <xdr:to>
      <xdr:col>15</xdr:col>
      <xdr:colOff>19049</xdr:colOff>
      <xdr:row>21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CE32D5-F8E2-68B5-EFAA-AABC22A497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4" y="1023937"/>
              <a:ext cx="5743575" cy="3062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24</xdr:row>
      <xdr:rowOff>185736</xdr:rowOff>
    </xdr:from>
    <xdr:to>
      <xdr:col>19</xdr:col>
      <xdr:colOff>790575</xdr:colOff>
      <xdr:row>44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9A0609-8AB1-9463-332D-AA9BA6D68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4757736"/>
              <a:ext cx="12515850" cy="3643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zoomScale="110" zoomScaleNormal="110" workbookViewId="0">
      <selection activeCell="D9" sqref="D9"/>
    </sheetView>
  </sheetViews>
  <sheetFormatPr defaultRowHeight="15" x14ac:dyDescent="0.25"/>
  <cols>
    <col min="1" max="1" width="7" bestFit="1" customWidth="1"/>
    <col min="3" max="3" width="18.140625" bestFit="1" customWidth="1"/>
    <col min="4" max="4" width="12.28515625" bestFit="1" customWidth="1"/>
  </cols>
  <sheetData>
    <row r="1" spans="1:4" x14ac:dyDescent="0.25">
      <c r="A1" t="s">
        <v>0</v>
      </c>
    </row>
    <row r="2" spans="1:4" x14ac:dyDescent="0.25">
      <c r="A2">
        <v>0</v>
      </c>
    </row>
    <row r="3" spans="1:4" x14ac:dyDescent="0.25">
      <c r="A3">
        <v>0</v>
      </c>
      <c r="C3" t="s">
        <v>12</v>
      </c>
      <c r="D3">
        <f>_xlfn.QUARTILE.EXC(A2:A201,1)</f>
        <v>9.2750000000000004</v>
      </c>
    </row>
    <row r="4" spans="1:4" x14ac:dyDescent="0.25">
      <c r="A4">
        <v>0</v>
      </c>
      <c r="C4" t="s">
        <v>13</v>
      </c>
      <c r="D4">
        <f>_xlfn.QUARTILE.EXC(A2:A201,2)</f>
        <v>26.905000000000001</v>
      </c>
    </row>
    <row r="5" spans="1:4" x14ac:dyDescent="0.25">
      <c r="A5">
        <v>0</v>
      </c>
      <c r="C5" t="s">
        <v>14</v>
      </c>
      <c r="D5">
        <f>_xlfn.QUARTILE.EXC(A2:A201,3)</f>
        <v>84.942499999999995</v>
      </c>
    </row>
    <row r="6" spans="1:4" x14ac:dyDescent="0.25">
      <c r="A6">
        <v>0</v>
      </c>
    </row>
    <row r="7" spans="1:4" x14ac:dyDescent="0.25">
      <c r="A7">
        <v>0</v>
      </c>
      <c r="C7" t="s">
        <v>15</v>
      </c>
      <c r="D7">
        <f>D5-D3</f>
        <v>75.66749999999999</v>
      </c>
    </row>
    <row r="8" spans="1:4" x14ac:dyDescent="0.25">
      <c r="A8">
        <v>0</v>
      </c>
    </row>
    <row r="9" spans="1:4" x14ac:dyDescent="0.25">
      <c r="A9">
        <v>0</v>
      </c>
      <c r="C9" t="s">
        <v>16</v>
      </c>
      <c r="D9">
        <f>D3-(1.5*D7)</f>
        <v>-104.22624999999998</v>
      </c>
    </row>
    <row r="10" spans="1:4" x14ac:dyDescent="0.25">
      <c r="A10">
        <v>0.98</v>
      </c>
      <c r="C10" t="s">
        <v>17</v>
      </c>
      <c r="D10">
        <f>D5+(1.5*D7)</f>
        <v>198.44374999999997</v>
      </c>
    </row>
    <row r="11" spans="1:4" x14ac:dyDescent="0.25">
      <c r="A11">
        <v>1.08</v>
      </c>
    </row>
    <row r="12" spans="1:4" x14ac:dyDescent="0.25">
      <c r="A12">
        <v>1.47</v>
      </c>
      <c r="C12" s="1" t="s">
        <v>0</v>
      </c>
      <c r="D12" s="1"/>
    </row>
    <row r="13" spans="1:4" x14ac:dyDescent="0.25">
      <c r="A13">
        <v>1.57</v>
      </c>
      <c r="C13" s="3" t="s">
        <v>18</v>
      </c>
      <c r="D13" s="3">
        <v>43.587600000000023</v>
      </c>
    </row>
    <row r="14" spans="1:4" x14ac:dyDescent="0.25">
      <c r="A14">
        <v>1.62</v>
      </c>
      <c r="C14" s="2" t="s">
        <v>19</v>
      </c>
      <c r="D14" s="2">
        <v>2.7555745812013153</v>
      </c>
    </row>
    <row r="15" spans="1:4" x14ac:dyDescent="0.25">
      <c r="A15">
        <v>1.88</v>
      </c>
      <c r="C15" s="2" t="s">
        <v>20</v>
      </c>
      <c r="D15" s="2">
        <v>26.905000000000001</v>
      </c>
    </row>
    <row r="16" spans="1:4" x14ac:dyDescent="0.25">
      <c r="A16">
        <v>2.42</v>
      </c>
      <c r="C16" s="2" t="s">
        <v>21</v>
      </c>
      <c r="D16" s="2">
        <v>0</v>
      </c>
    </row>
    <row r="17" spans="1:4" x14ac:dyDescent="0.25">
      <c r="A17">
        <v>2.4500000000000002</v>
      </c>
      <c r="C17" s="2" t="s">
        <v>22</v>
      </c>
      <c r="D17" s="2">
        <v>38.969709448654619</v>
      </c>
    </row>
    <row r="18" spans="1:4" x14ac:dyDescent="0.25">
      <c r="A18">
        <v>2.67</v>
      </c>
      <c r="C18" s="2" t="s">
        <v>23</v>
      </c>
      <c r="D18" s="2">
        <v>1518.6382545125612</v>
      </c>
    </row>
    <row r="19" spans="1:4" x14ac:dyDescent="0.25">
      <c r="A19">
        <v>2.72</v>
      </c>
      <c r="C19" s="2" t="s">
        <v>24</v>
      </c>
      <c r="D19" s="2">
        <v>-1.291906740264448</v>
      </c>
    </row>
    <row r="20" spans="1:4" x14ac:dyDescent="0.25">
      <c r="A20">
        <v>2.8</v>
      </c>
      <c r="C20" s="2" t="s">
        <v>25</v>
      </c>
      <c r="D20" s="2">
        <v>0.54137354770611867</v>
      </c>
    </row>
    <row r="21" spans="1:4" x14ac:dyDescent="0.25">
      <c r="A21">
        <v>2.88</v>
      </c>
      <c r="C21" s="2" t="s">
        <v>26</v>
      </c>
      <c r="D21" s="2">
        <v>119.63</v>
      </c>
    </row>
    <row r="22" spans="1:4" x14ac:dyDescent="0.25">
      <c r="A22">
        <v>3.03</v>
      </c>
      <c r="C22" s="2" t="s">
        <v>27</v>
      </c>
      <c r="D22" s="2">
        <v>0</v>
      </c>
    </row>
    <row r="23" spans="1:4" x14ac:dyDescent="0.25">
      <c r="A23">
        <v>3.2</v>
      </c>
      <c r="C23" s="2" t="s">
        <v>28</v>
      </c>
      <c r="D23" s="2">
        <v>119.63</v>
      </c>
    </row>
    <row r="24" spans="1:4" x14ac:dyDescent="0.25">
      <c r="A24">
        <v>3.43</v>
      </c>
      <c r="C24" s="2" t="s">
        <v>29</v>
      </c>
      <c r="D24" s="2">
        <v>8717.5200000000041</v>
      </c>
    </row>
    <row r="25" spans="1:4" x14ac:dyDescent="0.25">
      <c r="A25">
        <v>3.69</v>
      </c>
      <c r="C25" s="2" t="s">
        <v>30</v>
      </c>
      <c r="D25" s="2">
        <v>200</v>
      </c>
    </row>
    <row r="26" spans="1:4" x14ac:dyDescent="0.25">
      <c r="A26">
        <v>3.85</v>
      </c>
    </row>
    <row r="27" spans="1:4" x14ac:dyDescent="0.25">
      <c r="A27">
        <v>4.6900000000000004</v>
      </c>
    </row>
    <row r="28" spans="1:4" x14ac:dyDescent="0.25">
      <c r="A28">
        <v>5.04</v>
      </c>
    </row>
    <row r="29" spans="1:4" x14ac:dyDescent="0.25">
      <c r="A29">
        <v>5.0999999999999996</v>
      </c>
    </row>
    <row r="30" spans="1:4" x14ac:dyDescent="0.25">
      <c r="A30">
        <v>5.2</v>
      </c>
    </row>
    <row r="31" spans="1:4" x14ac:dyDescent="0.25">
      <c r="A31">
        <v>5.42</v>
      </c>
    </row>
    <row r="32" spans="1:4" x14ac:dyDescent="0.25">
      <c r="A32">
        <v>5.64</v>
      </c>
    </row>
    <row r="33" spans="1:1" x14ac:dyDescent="0.25">
      <c r="A33">
        <v>5.72</v>
      </c>
    </row>
    <row r="34" spans="1:1" x14ac:dyDescent="0.25">
      <c r="A34">
        <v>6.45</v>
      </c>
    </row>
    <row r="35" spans="1:1" x14ac:dyDescent="0.25">
      <c r="A35">
        <v>6.48</v>
      </c>
    </row>
    <row r="36" spans="1:1" x14ac:dyDescent="0.25">
      <c r="A36">
        <v>6.48</v>
      </c>
    </row>
    <row r="37" spans="1:1" x14ac:dyDescent="0.25">
      <c r="A37">
        <v>6.72</v>
      </c>
    </row>
    <row r="38" spans="1:1" x14ac:dyDescent="0.25">
      <c r="A38">
        <v>6.93</v>
      </c>
    </row>
    <row r="39" spans="1:1" x14ac:dyDescent="0.25">
      <c r="A39">
        <v>6.95</v>
      </c>
    </row>
    <row r="40" spans="1:1" x14ac:dyDescent="0.25">
      <c r="A40">
        <v>6.95</v>
      </c>
    </row>
    <row r="41" spans="1:1" x14ac:dyDescent="0.25">
      <c r="A41">
        <v>7.18</v>
      </c>
    </row>
    <row r="42" spans="1:1" x14ac:dyDescent="0.25">
      <c r="A42">
        <v>7.74</v>
      </c>
    </row>
    <row r="43" spans="1:1" x14ac:dyDescent="0.25">
      <c r="A43">
        <v>8.11</v>
      </c>
    </row>
    <row r="44" spans="1:1" x14ac:dyDescent="0.25">
      <c r="A44">
        <v>8.3699999999999992</v>
      </c>
    </row>
    <row r="45" spans="1:1" x14ac:dyDescent="0.25">
      <c r="A45">
        <v>8.4</v>
      </c>
    </row>
    <row r="46" spans="1:1" x14ac:dyDescent="0.25">
      <c r="A46">
        <v>8.41</v>
      </c>
    </row>
    <row r="47" spans="1:1" x14ac:dyDescent="0.25">
      <c r="A47">
        <v>9.01</v>
      </c>
    </row>
    <row r="48" spans="1:1" x14ac:dyDescent="0.25">
      <c r="A48">
        <v>9.1199999999999992</v>
      </c>
    </row>
    <row r="49" spans="1:1" x14ac:dyDescent="0.25">
      <c r="A49">
        <v>9.1199999999999992</v>
      </c>
    </row>
    <row r="50" spans="1:1" x14ac:dyDescent="0.25">
      <c r="A50">
        <v>9.16</v>
      </c>
    </row>
    <row r="51" spans="1:1" x14ac:dyDescent="0.25">
      <c r="A51">
        <v>9.2200000000000006</v>
      </c>
    </row>
    <row r="52" spans="1:1" x14ac:dyDescent="0.25">
      <c r="A52">
        <v>9.44</v>
      </c>
    </row>
    <row r="53" spans="1:1" x14ac:dyDescent="0.25">
      <c r="A53">
        <v>9.6300000000000008</v>
      </c>
    </row>
    <row r="54" spans="1:1" x14ac:dyDescent="0.25">
      <c r="A54">
        <v>10.050000000000001</v>
      </c>
    </row>
    <row r="55" spans="1:1" x14ac:dyDescent="0.25">
      <c r="A55">
        <v>10.130000000000001</v>
      </c>
    </row>
    <row r="56" spans="1:1" x14ac:dyDescent="0.25">
      <c r="A56">
        <v>10.44</v>
      </c>
    </row>
    <row r="57" spans="1:1" x14ac:dyDescent="0.25">
      <c r="A57">
        <v>10.7</v>
      </c>
    </row>
    <row r="58" spans="1:1" x14ac:dyDescent="0.25">
      <c r="A58">
        <v>10.88</v>
      </c>
    </row>
    <row r="59" spans="1:1" x14ac:dyDescent="0.25">
      <c r="A59">
        <v>11.05</v>
      </c>
    </row>
    <row r="60" spans="1:1" x14ac:dyDescent="0.25">
      <c r="A60">
        <v>11.07</v>
      </c>
    </row>
    <row r="61" spans="1:1" x14ac:dyDescent="0.25">
      <c r="A61">
        <v>11.27</v>
      </c>
    </row>
    <row r="62" spans="1:1" x14ac:dyDescent="0.25">
      <c r="A62">
        <v>11.64</v>
      </c>
    </row>
    <row r="63" spans="1:1" x14ac:dyDescent="0.25">
      <c r="A63">
        <v>12.24</v>
      </c>
    </row>
    <row r="64" spans="1:1" x14ac:dyDescent="0.25">
      <c r="A64">
        <v>13.26</v>
      </c>
    </row>
    <row r="65" spans="1:1" x14ac:dyDescent="0.25">
      <c r="A65">
        <v>13.36</v>
      </c>
    </row>
    <row r="66" spans="1:1" x14ac:dyDescent="0.25">
      <c r="A66">
        <v>13.54</v>
      </c>
    </row>
    <row r="67" spans="1:1" x14ac:dyDescent="0.25">
      <c r="A67">
        <v>13.62</v>
      </c>
    </row>
    <row r="68" spans="1:1" x14ac:dyDescent="0.25">
      <c r="A68">
        <v>13.68</v>
      </c>
    </row>
    <row r="69" spans="1:1" x14ac:dyDescent="0.25">
      <c r="A69">
        <v>13.9</v>
      </c>
    </row>
    <row r="70" spans="1:1" x14ac:dyDescent="0.25">
      <c r="A70">
        <v>13.95</v>
      </c>
    </row>
    <row r="71" spans="1:1" x14ac:dyDescent="0.25">
      <c r="A71">
        <v>14.34</v>
      </c>
    </row>
    <row r="72" spans="1:1" x14ac:dyDescent="0.25">
      <c r="A72">
        <v>14.49</v>
      </c>
    </row>
    <row r="73" spans="1:1" x14ac:dyDescent="0.25">
      <c r="A73">
        <v>15.21</v>
      </c>
    </row>
    <row r="74" spans="1:1" x14ac:dyDescent="0.25">
      <c r="A74">
        <v>15.3</v>
      </c>
    </row>
    <row r="75" spans="1:1" x14ac:dyDescent="0.25">
      <c r="A75">
        <v>15.3</v>
      </c>
    </row>
    <row r="76" spans="1:1" x14ac:dyDescent="0.25">
      <c r="A76">
        <v>15.42</v>
      </c>
    </row>
    <row r="77" spans="1:1" x14ac:dyDescent="0.25">
      <c r="A77">
        <v>15.43</v>
      </c>
    </row>
    <row r="78" spans="1:1" x14ac:dyDescent="0.25">
      <c r="A78">
        <v>16.440000000000001</v>
      </c>
    </row>
    <row r="79" spans="1:1" x14ac:dyDescent="0.25">
      <c r="A79">
        <v>16.47</v>
      </c>
    </row>
    <row r="80" spans="1:1" x14ac:dyDescent="0.25">
      <c r="A80">
        <v>17.12</v>
      </c>
    </row>
    <row r="81" spans="1:1" x14ac:dyDescent="0.25">
      <c r="A81">
        <v>18.489999999999998</v>
      </c>
    </row>
    <row r="82" spans="1:1" x14ac:dyDescent="0.25">
      <c r="A82">
        <v>18.89</v>
      </c>
    </row>
    <row r="83" spans="1:1" x14ac:dyDescent="0.25">
      <c r="A83">
        <v>19.34</v>
      </c>
    </row>
    <row r="84" spans="1:1" x14ac:dyDescent="0.25">
      <c r="A84">
        <v>19.45</v>
      </c>
    </row>
    <row r="85" spans="1:1" x14ac:dyDescent="0.25">
      <c r="A85">
        <v>19.600000000000001</v>
      </c>
    </row>
    <row r="86" spans="1:1" x14ac:dyDescent="0.25">
      <c r="A86">
        <v>19.7</v>
      </c>
    </row>
    <row r="87" spans="1:1" x14ac:dyDescent="0.25">
      <c r="A87">
        <v>20.12</v>
      </c>
    </row>
    <row r="88" spans="1:1" x14ac:dyDescent="0.25">
      <c r="A88">
        <v>20.39</v>
      </c>
    </row>
    <row r="89" spans="1:1" x14ac:dyDescent="0.25">
      <c r="A89">
        <v>20.55</v>
      </c>
    </row>
    <row r="90" spans="1:1" x14ac:dyDescent="0.25">
      <c r="A90">
        <v>20.84</v>
      </c>
    </row>
    <row r="91" spans="1:1" x14ac:dyDescent="0.25">
      <c r="A91">
        <v>21</v>
      </c>
    </row>
    <row r="92" spans="1:1" x14ac:dyDescent="0.25">
      <c r="A92">
        <v>21.13</v>
      </c>
    </row>
    <row r="93" spans="1:1" x14ac:dyDescent="0.25">
      <c r="A93">
        <v>21.34</v>
      </c>
    </row>
    <row r="94" spans="1:1" x14ac:dyDescent="0.25">
      <c r="A94">
        <v>21.36</v>
      </c>
    </row>
    <row r="95" spans="1:1" x14ac:dyDescent="0.25">
      <c r="A95">
        <v>21.97</v>
      </c>
    </row>
    <row r="96" spans="1:1" x14ac:dyDescent="0.25">
      <c r="A96">
        <v>22.57</v>
      </c>
    </row>
    <row r="97" spans="1:1" x14ac:dyDescent="0.25">
      <c r="A97">
        <v>23.31</v>
      </c>
    </row>
    <row r="98" spans="1:1" x14ac:dyDescent="0.25">
      <c r="A98">
        <v>24.42</v>
      </c>
    </row>
    <row r="99" spans="1:1" x14ac:dyDescent="0.25">
      <c r="A99">
        <v>24.49</v>
      </c>
    </row>
    <row r="100" spans="1:1" x14ac:dyDescent="0.25">
      <c r="A100">
        <v>26.4</v>
      </c>
    </row>
    <row r="101" spans="1:1" x14ac:dyDescent="0.25">
      <c r="A101">
        <v>26.84</v>
      </c>
    </row>
    <row r="102" spans="1:1" x14ac:dyDescent="0.25">
      <c r="A102">
        <v>26.97</v>
      </c>
    </row>
    <row r="103" spans="1:1" x14ac:dyDescent="0.25">
      <c r="A103">
        <v>27.21</v>
      </c>
    </row>
    <row r="104" spans="1:1" x14ac:dyDescent="0.25">
      <c r="A104">
        <v>27.57</v>
      </c>
    </row>
    <row r="105" spans="1:1" x14ac:dyDescent="0.25">
      <c r="A105">
        <v>28.77</v>
      </c>
    </row>
    <row r="106" spans="1:1" x14ac:dyDescent="0.25">
      <c r="A106">
        <v>29.04</v>
      </c>
    </row>
    <row r="107" spans="1:1" x14ac:dyDescent="0.25">
      <c r="A107">
        <v>29.23</v>
      </c>
    </row>
    <row r="108" spans="1:1" x14ac:dyDescent="0.25">
      <c r="A108">
        <v>29.24</v>
      </c>
    </row>
    <row r="109" spans="1:1" x14ac:dyDescent="0.25">
      <c r="A109">
        <v>29.25</v>
      </c>
    </row>
    <row r="110" spans="1:1" x14ac:dyDescent="0.25">
      <c r="A110">
        <v>30.61</v>
      </c>
    </row>
    <row r="111" spans="1:1" x14ac:dyDescent="0.25">
      <c r="A111">
        <v>30.62</v>
      </c>
    </row>
    <row r="112" spans="1:1" x14ac:dyDescent="0.25">
      <c r="A112">
        <v>31.77</v>
      </c>
    </row>
    <row r="113" spans="1:1" x14ac:dyDescent="0.25">
      <c r="A113">
        <v>33.4</v>
      </c>
    </row>
    <row r="114" spans="1:1" x14ac:dyDescent="0.25">
      <c r="A114">
        <v>33.69</v>
      </c>
    </row>
    <row r="115" spans="1:1" x14ac:dyDescent="0.25">
      <c r="A115">
        <v>35</v>
      </c>
    </row>
    <row r="116" spans="1:1" x14ac:dyDescent="0.25">
      <c r="A116">
        <v>35.32</v>
      </c>
    </row>
    <row r="117" spans="1:1" x14ac:dyDescent="0.25">
      <c r="A117">
        <v>38.450000000000003</v>
      </c>
    </row>
    <row r="118" spans="1:1" x14ac:dyDescent="0.25">
      <c r="A118">
        <v>39.21</v>
      </c>
    </row>
    <row r="119" spans="1:1" x14ac:dyDescent="0.25">
      <c r="A119">
        <v>41.38</v>
      </c>
    </row>
    <row r="120" spans="1:1" x14ac:dyDescent="0.25">
      <c r="A120">
        <v>42.19</v>
      </c>
    </row>
    <row r="121" spans="1:1" x14ac:dyDescent="0.25">
      <c r="A121">
        <v>44.16</v>
      </c>
    </row>
    <row r="122" spans="1:1" x14ac:dyDescent="0.25">
      <c r="A122">
        <v>44.32</v>
      </c>
    </row>
    <row r="123" spans="1:1" x14ac:dyDescent="0.25">
      <c r="A123">
        <v>45.77</v>
      </c>
    </row>
    <row r="124" spans="1:1" x14ac:dyDescent="0.25">
      <c r="A124">
        <v>45.81</v>
      </c>
    </row>
    <row r="125" spans="1:1" x14ac:dyDescent="0.25">
      <c r="A125">
        <v>48.54</v>
      </c>
    </row>
    <row r="126" spans="1:1" x14ac:dyDescent="0.25">
      <c r="A126">
        <v>49.24</v>
      </c>
    </row>
    <row r="127" spans="1:1" x14ac:dyDescent="0.25">
      <c r="A127">
        <v>53.21</v>
      </c>
    </row>
    <row r="128" spans="1:1" x14ac:dyDescent="0.25">
      <c r="A128">
        <v>53.9</v>
      </c>
    </row>
    <row r="129" spans="1:1" x14ac:dyDescent="0.25">
      <c r="A129">
        <v>55.99</v>
      </c>
    </row>
    <row r="130" spans="1:1" x14ac:dyDescent="0.25">
      <c r="A130">
        <v>56.01</v>
      </c>
    </row>
    <row r="131" spans="1:1" x14ac:dyDescent="0.25">
      <c r="A131">
        <v>56.04</v>
      </c>
    </row>
    <row r="132" spans="1:1" x14ac:dyDescent="0.25">
      <c r="A132">
        <v>63.7</v>
      </c>
    </row>
    <row r="133" spans="1:1" x14ac:dyDescent="0.25">
      <c r="A133">
        <v>64.78</v>
      </c>
    </row>
    <row r="134" spans="1:1" x14ac:dyDescent="0.25">
      <c r="A134">
        <v>65.900000000000006</v>
      </c>
    </row>
    <row r="135" spans="1:1" x14ac:dyDescent="0.25">
      <c r="A135">
        <v>68.69</v>
      </c>
    </row>
    <row r="136" spans="1:1" x14ac:dyDescent="0.25">
      <c r="A136">
        <v>70.48</v>
      </c>
    </row>
    <row r="137" spans="1:1" x14ac:dyDescent="0.25">
      <c r="A137">
        <v>72.02</v>
      </c>
    </row>
    <row r="138" spans="1:1" x14ac:dyDescent="0.25">
      <c r="A138">
        <v>72.47</v>
      </c>
    </row>
    <row r="139" spans="1:1" x14ac:dyDescent="0.25">
      <c r="A139">
        <v>72.78</v>
      </c>
    </row>
    <row r="140" spans="1:1" x14ac:dyDescent="0.25">
      <c r="A140">
        <v>72.88</v>
      </c>
    </row>
    <row r="141" spans="1:1" x14ac:dyDescent="0.25">
      <c r="A141">
        <v>74.010000000000005</v>
      </c>
    </row>
    <row r="142" spans="1:1" x14ac:dyDescent="0.25">
      <c r="A142">
        <v>75.489999999999995</v>
      </c>
    </row>
    <row r="143" spans="1:1" x14ac:dyDescent="0.25">
      <c r="A143">
        <v>75.709999999999994</v>
      </c>
    </row>
    <row r="144" spans="1:1" x14ac:dyDescent="0.25">
      <c r="A144">
        <v>76.69</v>
      </c>
    </row>
    <row r="145" spans="1:1" x14ac:dyDescent="0.25">
      <c r="A145">
        <v>77.209999999999994</v>
      </c>
    </row>
    <row r="146" spans="1:1" x14ac:dyDescent="0.25">
      <c r="A146">
        <v>78.89</v>
      </c>
    </row>
    <row r="147" spans="1:1" x14ac:dyDescent="0.25">
      <c r="A147">
        <v>79.52</v>
      </c>
    </row>
    <row r="148" spans="1:1" x14ac:dyDescent="0.25">
      <c r="A148">
        <v>83.05</v>
      </c>
    </row>
    <row r="149" spans="1:1" x14ac:dyDescent="0.25">
      <c r="A149">
        <v>83.26</v>
      </c>
    </row>
    <row r="150" spans="1:1" x14ac:dyDescent="0.25">
      <c r="A150">
        <v>84.12</v>
      </c>
    </row>
    <row r="151" spans="1:1" x14ac:dyDescent="0.25">
      <c r="A151">
        <v>84.77</v>
      </c>
    </row>
    <row r="152" spans="1:1" x14ac:dyDescent="0.25">
      <c r="A152">
        <v>85</v>
      </c>
    </row>
    <row r="153" spans="1:1" x14ac:dyDescent="0.25">
      <c r="A153">
        <v>87.71</v>
      </c>
    </row>
    <row r="154" spans="1:1" x14ac:dyDescent="0.25">
      <c r="A154">
        <v>88.51</v>
      </c>
    </row>
    <row r="155" spans="1:1" x14ac:dyDescent="0.25">
      <c r="A155">
        <v>88.62</v>
      </c>
    </row>
    <row r="156" spans="1:1" x14ac:dyDescent="0.25">
      <c r="A156">
        <v>89.13</v>
      </c>
    </row>
    <row r="157" spans="1:1" x14ac:dyDescent="0.25">
      <c r="A157">
        <v>89.27</v>
      </c>
    </row>
    <row r="158" spans="1:1" x14ac:dyDescent="0.25">
      <c r="A158">
        <v>89.35</v>
      </c>
    </row>
    <row r="159" spans="1:1" x14ac:dyDescent="0.25">
      <c r="A159">
        <v>89.5</v>
      </c>
    </row>
    <row r="160" spans="1:1" x14ac:dyDescent="0.25">
      <c r="A160">
        <v>90.04</v>
      </c>
    </row>
    <row r="161" spans="1:1" x14ac:dyDescent="0.25">
      <c r="A161">
        <v>90.26</v>
      </c>
    </row>
    <row r="162" spans="1:1" x14ac:dyDescent="0.25">
      <c r="A162">
        <v>91.1</v>
      </c>
    </row>
    <row r="163" spans="1:1" x14ac:dyDescent="0.25">
      <c r="A163">
        <v>91.56</v>
      </c>
    </row>
    <row r="164" spans="1:1" x14ac:dyDescent="0.25">
      <c r="A164">
        <v>92.17</v>
      </c>
    </row>
    <row r="165" spans="1:1" x14ac:dyDescent="0.25">
      <c r="A165">
        <v>92.62</v>
      </c>
    </row>
    <row r="166" spans="1:1" x14ac:dyDescent="0.25">
      <c r="A166">
        <v>92.64</v>
      </c>
    </row>
    <row r="167" spans="1:1" x14ac:dyDescent="0.25">
      <c r="A167">
        <v>92.88</v>
      </c>
    </row>
    <row r="168" spans="1:1" x14ac:dyDescent="0.25">
      <c r="A168">
        <v>92.97</v>
      </c>
    </row>
    <row r="169" spans="1:1" x14ac:dyDescent="0.25">
      <c r="A169">
        <v>93.31</v>
      </c>
    </row>
    <row r="170" spans="1:1" x14ac:dyDescent="0.25">
      <c r="A170">
        <v>93.57</v>
      </c>
    </row>
    <row r="171" spans="1:1" x14ac:dyDescent="0.25">
      <c r="A171">
        <v>93.93</v>
      </c>
    </row>
    <row r="172" spans="1:1" x14ac:dyDescent="0.25">
      <c r="A172">
        <v>94.52</v>
      </c>
    </row>
    <row r="173" spans="1:1" x14ac:dyDescent="0.25">
      <c r="A173">
        <v>94.67</v>
      </c>
    </row>
    <row r="174" spans="1:1" x14ac:dyDescent="0.25">
      <c r="A174">
        <v>95.03</v>
      </c>
    </row>
    <row r="175" spans="1:1" x14ac:dyDescent="0.25">
      <c r="A175">
        <v>95.52</v>
      </c>
    </row>
    <row r="176" spans="1:1" x14ac:dyDescent="0.25">
      <c r="A176">
        <v>95.73</v>
      </c>
    </row>
    <row r="177" spans="1:1" x14ac:dyDescent="0.25">
      <c r="A177">
        <v>99.03</v>
      </c>
    </row>
    <row r="178" spans="1:1" x14ac:dyDescent="0.25">
      <c r="A178">
        <v>99.5</v>
      </c>
    </row>
    <row r="179" spans="1:1" x14ac:dyDescent="0.25">
      <c r="A179">
        <v>99.56</v>
      </c>
    </row>
    <row r="180" spans="1:1" x14ac:dyDescent="0.25">
      <c r="A180">
        <v>100.04</v>
      </c>
    </row>
    <row r="181" spans="1:1" x14ac:dyDescent="0.25">
      <c r="A181">
        <v>100.05</v>
      </c>
    </row>
    <row r="182" spans="1:1" x14ac:dyDescent="0.25">
      <c r="A182">
        <v>101.36</v>
      </c>
    </row>
    <row r="183" spans="1:1" x14ac:dyDescent="0.25">
      <c r="A183">
        <v>103.15</v>
      </c>
    </row>
    <row r="184" spans="1:1" x14ac:dyDescent="0.25">
      <c r="A184">
        <v>104.4</v>
      </c>
    </row>
    <row r="185" spans="1:1" x14ac:dyDescent="0.25">
      <c r="A185">
        <v>104.8</v>
      </c>
    </row>
    <row r="186" spans="1:1" x14ac:dyDescent="0.25">
      <c r="A186">
        <v>104.84</v>
      </c>
    </row>
    <row r="187" spans="1:1" x14ac:dyDescent="0.25">
      <c r="A187">
        <v>104.88</v>
      </c>
    </row>
    <row r="188" spans="1:1" x14ac:dyDescent="0.25">
      <c r="A188">
        <v>106.59</v>
      </c>
    </row>
    <row r="189" spans="1:1" x14ac:dyDescent="0.25">
      <c r="A189">
        <v>106.84</v>
      </c>
    </row>
    <row r="190" spans="1:1" x14ac:dyDescent="0.25">
      <c r="A190">
        <v>109.08</v>
      </c>
    </row>
    <row r="191" spans="1:1" x14ac:dyDescent="0.25">
      <c r="A191">
        <v>109.94</v>
      </c>
    </row>
    <row r="192" spans="1:1" x14ac:dyDescent="0.25">
      <c r="A192">
        <v>110.46</v>
      </c>
    </row>
    <row r="193" spans="1:1" x14ac:dyDescent="0.25">
      <c r="A193">
        <v>111.14</v>
      </c>
    </row>
    <row r="194" spans="1:1" x14ac:dyDescent="0.25">
      <c r="A194">
        <v>112.94</v>
      </c>
    </row>
    <row r="195" spans="1:1" x14ac:dyDescent="0.25">
      <c r="A195">
        <v>114.67</v>
      </c>
    </row>
    <row r="196" spans="1:1" x14ac:dyDescent="0.25">
      <c r="A196">
        <v>115.5</v>
      </c>
    </row>
    <row r="197" spans="1:1" x14ac:dyDescent="0.25">
      <c r="A197">
        <v>115.78</v>
      </c>
    </row>
    <row r="198" spans="1:1" x14ac:dyDescent="0.25">
      <c r="A198">
        <v>117.69</v>
      </c>
    </row>
    <row r="199" spans="1:1" x14ac:dyDescent="0.25">
      <c r="A199">
        <v>118.04</v>
      </c>
    </row>
    <row r="200" spans="1:1" x14ac:dyDescent="0.25">
      <c r="A200">
        <v>118.75</v>
      </c>
    </row>
    <row r="201" spans="1:1" x14ac:dyDescent="0.25">
      <c r="A201">
        <v>119.63</v>
      </c>
    </row>
  </sheetData>
  <sortState xmlns:xlrd2="http://schemas.microsoft.com/office/spreadsheetml/2017/richdata2" ref="A2:A201">
    <sortCondition ref="A2:A201"/>
  </sortState>
  <mergeCells count="1">
    <mergeCell ref="C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EA68-214D-43EF-8331-ABFF67BF3DE5}">
  <dimension ref="A1:D66"/>
  <sheetViews>
    <sheetView zoomScale="110" zoomScaleNormal="110" workbookViewId="0">
      <selection activeCell="D6" sqref="D6"/>
    </sheetView>
  </sheetViews>
  <sheetFormatPr defaultRowHeight="15" x14ac:dyDescent="0.25"/>
  <cols>
    <col min="1" max="1" width="5.140625" bestFit="1" customWidth="1"/>
    <col min="3" max="3" width="18.140625" bestFit="1" customWidth="1"/>
    <col min="4" max="4" width="12.7109375" bestFit="1" customWidth="1"/>
  </cols>
  <sheetData>
    <row r="1" spans="1:4" x14ac:dyDescent="0.25">
      <c r="A1" t="s">
        <v>1</v>
      </c>
    </row>
    <row r="2" spans="1:4" x14ac:dyDescent="0.25">
      <c r="A2">
        <v>250</v>
      </c>
      <c r="C2" t="s">
        <v>12</v>
      </c>
      <c r="D2">
        <f>_xlfn.QUARTILE.EXC(A2:A66,1)</f>
        <v>445</v>
      </c>
    </row>
    <row r="3" spans="1:4" x14ac:dyDescent="0.25">
      <c r="A3">
        <v>425</v>
      </c>
      <c r="C3" t="s">
        <v>13</v>
      </c>
      <c r="D3">
        <f>_xlfn.QUARTILE.EXC(A2:A66,2)</f>
        <v>475</v>
      </c>
    </row>
    <row r="4" spans="1:4" x14ac:dyDescent="0.25">
      <c r="A4">
        <v>430</v>
      </c>
      <c r="C4" t="s">
        <v>14</v>
      </c>
      <c r="D4">
        <f>_xlfn.QUARTILE.EXC(A2:A66,3)</f>
        <v>525</v>
      </c>
    </row>
    <row r="5" spans="1:4" x14ac:dyDescent="0.25">
      <c r="A5">
        <v>430</v>
      </c>
      <c r="C5" t="s">
        <v>15</v>
      </c>
      <c r="D5">
        <f>D4-D2</f>
        <v>80</v>
      </c>
    </row>
    <row r="6" spans="1:4" x14ac:dyDescent="0.25">
      <c r="A6">
        <v>435</v>
      </c>
      <c r="C6" t="s">
        <v>16</v>
      </c>
      <c r="D6">
        <f>D2-(1.5*D5)</f>
        <v>325</v>
      </c>
    </row>
    <row r="7" spans="1:4" x14ac:dyDescent="0.25">
      <c r="A7">
        <v>435</v>
      </c>
      <c r="C7" t="s">
        <v>17</v>
      </c>
      <c r="D7">
        <f>D4+(1.5*D5)</f>
        <v>645</v>
      </c>
    </row>
    <row r="8" spans="1:4" x14ac:dyDescent="0.25">
      <c r="A8">
        <v>435</v>
      </c>
    </row>
    <row r="9" spans="1:4" x14ac:dyDescent="0.25">
      <c r="A9">
        <v>435</v>
      </c>
      <c r="C9" s="5" t="s">
        <v>1</v>
      </c>
      <c r="D9" s="6"/>
    </row>
    <row r="10" spans="1:4" x14ac:dyDescent="0.25">
      <c r="A10">
        <v>435</v>
      </c>
      <c r="C10" s="2" t="s">
        <v>18</v>
      </c>
      <c r="D10" s="2">
        <v>487.6307692307692</v>
      </c>
    </row>
    <row r="11" spans="1:4" x14ac:dyDescent="0.25">
      <c r="A11">
        <v>440</v>
      </c>
      <c r="C11" s="2" t="s">
        <v>19</v>
      </c>
      <c r="D11" s="2">
        <v>7.781034920746059</v>
      </c>
    </row>
    <row r="12" spans="1:4" x14ac:dyDescent="0.25">
      <c r="A12">
        <v>440</v>
      </c>
      <c r="C12" s="2" t="s">
        <v>20</v>
      </c>
      <c r="D12" s="2">
        <v>475</v>
      </c>
    </row>
    <row r="13" spans="1:4" x14ac:dyDescent="0.25">
      <c r="A13">
        <v>440</v>
      </c>
      <c r="C13" s="2" t="s">
        <v>21</v>
      </c>
      <c r="D13" s="2">
        <v>450</v>
      </c>
    </row>
    <row r="14" spans="1:4" x14ac:dyDescent="0.25">
      <c r="A14">
        <v>440</v>
      </c>
      <c r="C14" s="2" t="s">
        <v>22</v>
      </c>
      <c r="D14" s="2">
        <v>62.732709079566504</v>
      </c>
    </row>
    <row r="15" spans="1:4" x14ac:dyDescent="0.25">
      <c r="A15">
        <v>445</v>
      </c>
      <c r="C15" s="2" t="s">
        <v>23</v>
      </c>
      <c r="D15" s="2">
        <v>3935.3927884615259</v>
      </c>
    </row>
    <row r="16" spans="1:4" x14ac:dyDescent="0.25">
      <c r="A16">
        <v>445</v>
      </c>
      <c r="C16" s="2" t="s">
        <v>24</v>
      </c>
      <c r="D16" s="2">
        <v>2.2333663985221861</v>
      </c>
    </row>
    <row r="17" spans="1:4" x14ac:dyDescent="0.25">
      <c r="A17">
        <v>445</v>
      </c>
      <c r="C17" s="2" t="s">
        <v>25</v>
      </c>
      <c r="D17" s="2">
        <v>-0.11657835774538966</v>
      </c>
    </row>
    <row r="18" spans="1:4" x14ac:dyDescent="0.25">
      <c r="A18">
        <v>445</v>
      </c>
      <c r="C18" s="2" t="s">
        <v>26</v>
      </c>
      <c r="D18" s="2">
        <v>365</v>
      </c>
    </row>
    <row r="19" spans="1:4" x14ac:dyDescent="0.25">
      <c r="A19">
        <v>445</v>
      </c>
      <c r="C19" s="2" t="s">
        <v>27</v>
      </c>
      <c r="D19" s="2">
        <v>250</v>
      </c>
    </row>
    <row r="20" spans="1:4" x14ac:dyDescent="0.25">
      <c r="A20">
        <v>450</v>
      </c>
      <c r="C20" s="2" t="s">
        <v>28</v>
      </c>
      <c r="D20" s="2">
        <v>615</v>
      </c>
    </row>
    <row r="21" spans="1:4" x14ac:dyDescent="0.25">
      <c r="A21">
        <v>450</v>
      </c>
      <c r="C21" s="2" t="s">
        <v>29</v>
      </c>
      <c r="D21" s="2">
        <v>31696</v>
      </c>
    </row>
    <row r="22" spans="1:4" x14ac:dyDescent="0.25">
      <c r="A22">
        <v>450</v>
      </c>
      <c r="C22" s="2" t="s">
        <v>30</v>
      </c>
      <c r="D22" s="2">
        <v>65</v>
      </c>
    </row>
    <row r="23" spans="1:4" x14ac:dyDescent="0.25">
      <c r="A23">
        <v>450</v>
      </c>
    </row>
    <row r="24" spans="1:4" x14ac:dyDescent="0.25">
      <c r="A24">
        <v>450</v>
      </c>
    </row>
    <row r="25" spans="1:4" x14ac:dyDescent="0.25">
      <c r="A25">
        <v>450</v>
      </c>
    </row>
    <row r="26" spans="1:4" x14ac:dyDescent="0.25">
      <c r="A26">
        <v>460</v>
      </c>
    </row>
    <row r="27" spans="1:4" x14ac:dyDescent="0.25">
      <c r="A27">
        <v>460</v>
      </c>
    </row>
    <row r="28" spans="1:4" x14ac:dyDescent="0.25">
      <c r="A28">
        <v>460</v>
      </c>
    </row>
    <row r="29" spans="1:4" x14ac:dyDescent="0.25">
      <c r="A29">
        <v>465</v>
      </c>
    </row>
    <row r="30" spans="1:4" x14ac:dyDescent="0.25">
      <c r="A30">
        <v>465</v>
      </c>
    </row>
    <row r="31" spans="1:4" x14ac:dyDescent="0.25">
      <c r="A31">
        <v>470</v>
      </c>
    </row>
    <row r="32" spans="1:4" x14ac:dyDescent="0.25">
      <c r="A32">
        <v>470</v>
      </c>
    </row>
    <row r="33" spans="1:1" x14ac:dyDescent="0.25">
      <c r="A33">
        <v>472</v>
      </c>
    </row>
    <row r="34" spans="1:1" x14ac:dyDescent="0.25">
      <c r="A34">
        <v>475</v>
      </c>
    </row>
    <row r="35" spans="1:1" x14ac:dyDescent="0.25">
      <c r="A35">
        <v>475</v>
      </c>
    </row>
    <row r="36" spans="1:1" x14ac:dyDescent="0.25">
      <c r="A36">
        <v>475</v>
      </c>
    </row>
    <row r="37" spans="1:1" x14ac:dyDescent="0.25">
      <c r="A37">
        <v>480</v>
      </c>
    </row>
    <row r="38" spans="1:1" x14ac:dyDescent="0.25">
      <c r="A38">
        <v>480</v>
      </c>
    </row>
    <row r="39" spans="1:1" x14ac:dyDescent="0.25">
      <c r="A39">
        <v>480</v>
      </c>
    </row>
    <row r="40" spans="1:1" x14ac:dyDescent="0.25">
      <c r="A40">
        <v>485</v>
      </c>
    </row>
    <row r="41" spans="1:1" x14ac:dyDescent="0.25">
      <c r="A41">
        <v>490</v>
      </c>
    </row>
    <row r="42" spans="1:1" x14ac:dyDescent="0.25">
      <c r="A42">
        <v>490</v>
      </c>
    </row>
    <row r="43" spans="1:1" x14ac:dyDescent="0.25">
      <c r="A43">
        <v>490</v>
      </c>
    </row>
    <row r="44" spans="1:1" x14ac:dyDescent="0.25">
      <c r="A44">
        <v>500</v>
      </c>
    </row>
    <row r="45" spans="1:1" x14ac:dyDescent="0.25">
      <c r="A45">
        <v>500</v>
      </c>
    </row>
    <row r="46" spans="1:1" x14ac:dyDescent="0.25">
      <c r="A46">
        <v>500</v>
      </c>
    </row>
    <row r="47" spans="1:1" x14ac:dyDescent="0.25">
      <c r="A47">
        <v>510</v>
      </c>
    </row>
    <row r="48" spans="1:1" x14ac:dyDescent="0.25">
      <c r="A48">
        <v>510</v>
      </c>
    </row>
    <row r="49" spans="1:1" x14ac:dyDescent="0.25">
      <c r="A49">
        <v>515</v>
      </c>
    </row>
    <row r="50" spans="1:1" x14ac:dyDescent="0.25">
      <c r="A50">
        <v>525</v>
      </c>
    </row>
    <row r="51" spans="1:1" x14ac:dyDescent="0.25">
      <c r="A51">
        <v>525</v>
      </c>
    </row>
    <row r="52" spans="1:1" x14ac:dyDescent="0.25">
      <c r="A52">
        <v>525</v>
      </c>
    </row>
    <row r="53" spans="1:1" x14ac:dyDescent="0.25">
      <c r="A53">
        <v>535</v>
      </c>
    </row>
    <row r="54" spans="1:1" x14ac:dyDescent="0.25">
      <c r="A54">
        <v>549</v>
      </c>
    </row>
    <row r="55" spans="1:1" x14ac:dyDescent="0.25">
      <c r="A55">
        <v>550</v>
      </c>
    </row>
    <row r="56" spans="1:1" x14ac:dyDescent="0.25">
      <c r="A56">
        <v>570</v>
      </c>
    </row>
    <row r="57" spans="1:1" x14ac:dyDescent="0.25">
      <c r="A57">
        <v>570</v>
      </c>
    </row>
    <row r="58" spans="1:1" x14ac:dyDescent="0.25">
      <c r="A58">
        <v>575</v>
      </c>
    </row>
    <row r="59" spans="1:1" x14ac:dyDescent="0.25">
      <c r="A59">
        <v>580</v>
      </c>
    </row>
    <row r="60" spans="1:1" x14ac:dyDescent="0.25">
      <c r="A60">
        <v>590</v>
      </c>
    </row>
    <row r="61" spans="1:1" x14ac:dyDescent="0.25">
      <c r="A61">
        <v>600</v>
      </c>
    </row>
    <row r="62" spans="1:1" x14ac:dyDescent="0.25">
      <c r="A62">
        <v>600</v>
      </c>
    </row>
    <row r="63" spans="1:1" x14ac:dyDescent="0.25">
      <c r="A63">
        <v>600</v>
      </c>
    </row>
    <row r="64" spans="1:1" x14ac:dyDescent="0.25">
      <c r="A64">
        <v>600</v>
      </c>
    </row>
    <row r="65" spans="1:1" x14ac:dyDescent="0.25">
      <c r="A65">
        <v>615</v>
      </c>
    </row>
    <row r="66" spans="1:1" x14ac:dyDescent="0.25">
      <c r="A66">
        <v>615</v>
      </c>
    </row>
  </sheetData>
  <sortState xmlns:xlrd2="http://schemas.microsoft.com/office/spreadsheetml/2017/richdata2" ref="A2:A66">
    <sortCondition ref="A1:A66"/>
  </sortState>
  <mergeCells count="1">
    <mergeCell ref="C9:D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0C1-FB2F-40D7-BA09-5A8568D1F2BA}">
  <dimension ref="A1:T26"/>
  <sheetViews>
    <sheetView tabSelected="1" topLeftCell="A4" workbookViewId="0">
      <selection activeCell="U19" sqref="U19"/>
    </sheetView>
  </sheetViews>
  <sheetFormatPr defaultRowHeight="15" x14ac:dyDescent="0.25"/>
  <cols>
    <col min="1" max="1" width="7.85546875" bestFit="1" customWidth="1"/>
    <col min="2" max="2" width="10" bestFit="1" customWidth="1"/>
    <col min="3" max="3" width="17.42578125" bestFit="1" customWidth="1"/>
    <col min="4" max="4" width="5" bestFit="1" customWidth="1"/>
    <col min="5" max="5" width="12.140625" bestFit="1" customWidth="1"/>
    <col min="7" max="7" width="18.140625" bestFit="1" customWidth="1"/>
    <col min="8" max="8" width="12" bestFit="1" customWidth="1"/>
    <col min="10" max="10" width="18.140625" bestFit="1" customWidth="1"/>
    <col min="11" max="11" width="12" bestFit="1" customWidth="1"/>
    <col min="13" max="13" width="18.140625" bestFit="1" customWidth="1"/>
    <col min="14" max="14" width="12.7109375" bestFit="1" customWidth="1"/>
    <col min="16" max="16" width="18.140625" bestFit="1" customWidth="1"/>
    <col min="17" max="17" width="12" bestFit="1" customWidth="1"/>
    <col min="19" max="19" width="18.140625" bestFit="1" customWidth="1"/>
    <col min="20" max="20" width="12" bestFit="1" customWidth="1"/>
  </cols>
  <sheetData>
    <row r="1" spans="1:2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G1" s="7" t="s">
        <v>2</v>
      </c>
      <c r="H1" s="7"/>
      <c r="J1" s="7" t="s">
        <v>3</v>
      </c>
      <c r="K1" s="7"/>
      <c r="M1" s="7" t="s">
        <v>32</v>
      </c>
      <c r="N1" s="7"/>
      <c r="P1" s="7" t="s">
        <v>5</v>
      </c>
      <c r="Q1" s="7"/>
      <c r="S1" s="7" t="s">
        <v>6</v>
      </c>
      <c r="T1" s="7"/>
    </row>
    <row r="2" spans="1:20" x14ac:dyDescent="0.25">
      <c r="A2">
        <v>3020</v>
      </c>
      <c r="B2">
        <v>2700</v>
      </c>
      <c r="C2">
        <v>3855</v>
      </c>
      <c r="D2">
        <v>3135</v>
      </c>
      <c r="E2">
        <v>3110</v>
      </c>
      <c r="G2" t="s">
        <v>12</v>
      </c>
      <c r="H2">
        <f>_xlfn.QUARTILE.EXC(A2:A26,1)</f>
        <v>3617.5</v>
      </c>
      <c r="J2" t="s">
        <v>12</v>
      </c>
      <c r="K2">
        <f>_xlfn.QUARTILE.EXC(B2:B26,1)</f>
        <v>3362.5</v>
      </c>
      <c r="M2" t="s">
        <v>12</v>
      </c>
      <c r="N2">
        <f>_xlfn.QUARTILE.EXC(C2:C26,1)</f>
        <v>3250</v>
      </c>
      <c r="P2" t="s">
        <v>12</v>
      </c>
      <c r="Q2">
        <f>_xlfn.QUARTILE.EXC(D2:D26,1)</f>
        <v>2932.5</v>
      </c>
      <c r="S2" t="s">
        <v>12</v>
      </c>
      <c r="T2">
        <f>_xlfn.QUARTILE.EXC(E2:E26,1)</f>
        <v>2427</v>
      </c>
    </row>
    <row r="3" spans="1:20" x14ac:dyDescent="0.25">
      <c r="A3">
        <v>3095</v>
      </c>
      <c r="B3">
        <v>2950</v>
      </c>
      <c r="C3">
        <v>4610</v>
      </c>
      <c r="D3">
        <v>3365</v>
      </c>
      <c r="E3">
        <v>4010</v>
      </c>
      <c r="G3" t="s">
        <v>13</v>
      </c>
      <c r="H3">
        <f>_xlfn.QUARTILE.EXC(A2:A26,2)</f>
        <v>3880</v>
      </c>
      <c r="J3" t="s">
        <v>13</v>
      </c>
      <c r="K3">
        <f>_xlfn.QUARTILE.EXC(B2:B26,2)</f>
        <v>3775</v>
      </c>
      <c r="M3" t="s">
        <v>13</v>
      </c>
      <c r="N3">
        <f>_xlfn.QUARTILE.EXC(C2:C26,2)</f>
        <v>3765</v>
      </c>
      <c r="P3" t="s">
        <v>13</v>
      </c>
      <c r="Q3">
        <f>_xlfn.QUARTILE.EXC(D2:D26,2)</f>
        <v>3250</v>
      </c>
      <c r="S3" t="s">
        <v>13</v>
      </c>
      <c r="T3">
        <f>_xlfn.QUARTILE.EXC(E2:E26,2)</f>
        <v>2796</v>
      </c>
    </row>
    <row r="4" spans="1:20" x14ac:dyDescent="0.25">
      <c r="A4">
        <v>3110</v>
      </c>
      <c r="B4">
        <v>2955</v>
      </c>
      <c r="C4">
        <v>3865</v>
      </c>
      <c r="D4">
        <v>2780</v>
      </c>
      <c r="E4">
        <v>2366</v>
      </c>
      <c r="G4" t="s">
        <v>14</v>
      </c>
      <c r="H4">
        <f>_xlfn.QUARTILE.EXC(A2:A26,3)</f>
        <v>4310</v>
      </c>
      <c r="J4" t="s">
        <v>14</v>
      </c>
      <c r="K4">
        <f>_xlfn.QUARTILE.EXC(B2:B26,3)</f>
        <v>4125</v>
      </c>
      <c r="M4" t="s">
        <v>14</v>
      </c>
      <c r="N4">
        <f>_xlfn.QUARTILE.EXC(C2:C26,3)</f>
        <v>4285</v>
      </c>
      <c r="P4" t="s">
        <v>14</v>
      </c>
      <c r="Q4">
        <f>_xlfn.QUARTILE.EXC(D2:D26,3)</f>
        <v>3507.5</v>
      </c>
      <c r="S4" t="s">
        <v>14</v>
      </c>
      <c r="T4">
        <f>_xlfn.QUARTILE.EXC(E2:E26,3)</f>
        <v>3263.5</v>
      </c>
    </row>
    <row r="5" spans="1:20" x14ac:dyDescent="0.25">
      <c r="A5">
        <v>3140</v>
      </c>
      <c r="B5">
        <v>3155</v>
      </c>
      <c r="C5">
        <v>4410</v>
      </c>
      <c r="D5">
        <v>3275</v>
      </c>
      <c r="E5">
        <v>4485</v>
      </c>
      <c r="G5" t="s">
        <v>15</v>
      </c>
      <c r="H5">
        <f>H4-H2</f>
        <v>692.5</v>
      </c>
      <c r="J5" t="s">
        <v>15</v>
      </c>
      <c r="K5">
        <f>K4-K2</f>
        <v>762.5</v>
      </c>
      <c r="M5" t="s">
        <v>15</v>
      </c>
      <c r="N5">
        <f>N4-N2</f>
        <v>1035</v>
      </c>
      <c r="P5" t="s">
        <v>15</v>
      </c>
      <c r="Q5">
        <f>Q4-Q2</f>
        <v>575</v>
      </c>
      <c r="S5" t="s">
        <v>15</v>
      </c>
      <c r="T5">
        <f>T4-T2</f>
        <v>836.5</v>
      </c>
    </row>
    <row r="6" spans="1:20" x14ac:dyDescent="0.25">
      <c r="A6">
        <v>3240</v>
      </c>
      <c r="B6">
        <v>3350</v>
      </c>
      <c r="C6">
        <v>4295</v>
      </c>
      <c r="D6">
        <v>3615</v>
      </c>
      <c r="E6">
        <v>2796</v>
      </c>
    </row>
    <row r="7" spans="1:20" x14ac:dyDescent="0.25">
      <c r="A7">
        <v>3475</v>
      </c>
      <c r="B7">
        <v>3355</v>
      </c>
      <c r="C7">
        <v>3715</v>
      </c>
      <c r="D7">
        <v>2890</v>
      </c>
      <c r="E7">
        <v>3645</v>
      </c>
      <c r="G7" t="s">
        <v>16</v>
      </c>
      <c r="H7">
        <f>H2-(1.5*H5)</f>
        <v>2578.75</v>
      </c>
      <c r="J7" t="s">
        <v>16</v>
      </c>
      <c r="K7">
        <f>K2-(1.5*K5)</f>
        <v>2218.75</v>
      </c>
      <c r="M7" t="s">
        <v>16</v>
      </c>
      <c r="N7">
        <f>N2-(1.5*N5)</f>
        <v>1697.5</v>
      </c>
      <c r="P7" t="s">
        <v>16</v>
      </c>
      <c r="Q7">
        <f>Q2-(1.5*Q5)</f>
        <v>2070</v>
      </c>
      <c r="S7" t="s">
        <v>16</v>
      </c>
      <c r="T7">
        <f>T2-(1.5*T5)</f>
        <v>1172.25</v>
      </c>
    </row>
    <row r="8" spans="1:20" x14ac:dyDescent="0.25">
      <c r="A8">
        <v>3760</v>
      </c>
      <c r="B8">
        <v>3370</v>
      </c>
      <c r="C8">
        <v>2830</v>
      </c>
      <c r="D8">
        <v>2780</v>
      </c>
      <c r="E8">
        <v>2643</v>
      </c>
      <c r="G8" t="s">
        <v>31</v>
      </c>
      <c r="H8">
        <f>H4+(1.5*H5)</f>
        <v>5348.75</v>
      </c>
      <c r="J8" t="s">
        <v>17</v>
      </c>
      <c r="K8">
        <f>K4+(1.5*K5)</f>
        <v>5268.75</v>
      </c>
      <c r="M8" t="s">
        <v>17</v>
      </c>
      <c r="N8">
        <f>N4+(1.5*N5)</f>
        <v>5837.5</v>
      </c>
      <c r="P8" t="s">
        <v>17</v>
      </c>
      <c r="Q8">
        <f>Q4+(1.5*Q5)</f>
        <v>4370</v>
      </c>
      <c r="S8" t="s">
        <v>17</v>
      </c>
      <c r="T8">
        <f>T4+(1.5*T5)</f>
        <v>4518.25</v>
      </c>
    </row>
    <row r="9" spans="1:20" x14ac:dyDescent="0.25">
      <c r="A9">
        <v>3770</v>
      </c>
      <c r="B9">
        <v>3400</v>
      </c>
      <c r="C9">
        <v>3330</v>
      </c>
      <c r="D9">
        <v>3715</v>
      </c>
      <c r="E9">
        <v>2268</v>
      </c>
    </row>
    <row r="10" spans="1:20" x14ac:dyDescent="0.25">
      <c r="A10">
        <v>3780</v>
      </c>
      <c r="B10">
        <v>3530</v>
      </c>
      <c r="C10">
        <v>3695</v>
      </c>
      <c r="D10">
        <v>3270</v>
      </c>
      <c r="E10">
        <v>3147</v>
      </c>
      <c r="G10" s="4" t="s">
        <v>2</v>
      </c>
      <c r="H10" s="4"/>
      <c r="J10" s="4" t="s">
        <v>3</v>
      </c>
      <c r="K10" s="4"/>
      <c r="M10" s="4" t="s">
        <v>4</v>
      </c>
      <c r="N10" s="4"/>
      <c r="P10" s="4" t="s">
        <v>5</v>
      </c>
      <c r="Q10" s="4"/>
      <c r="S10" s="4" t="s">
        <v>6</v>
      </c>
      <c r="T10" s="4"/>
    </row>
    <row r="11" spans="1:20" x14ac:dyDescent="0.25">
      <c r="A11">
        <v>3800</v>
      </c>
      <c r="B11">
        <v>3535</v>
      </c>
      <c r="C11">
        <v>4285</v>
      </c>
      <c r="D11">
        <v>3535</v>
      </c>
      <c r="E11">
        <v>2354</v>
      </c>
      <c r="G11" s="2" t="s">
        <v>18</v>
      </c>
      <c r="H11" s="2">
        <v>4006</v>
      </c>
      <c r="J11" s="2" t="s">
        <v>18</v>
      </c>
      <c r="K11" s="2">
        <v>3769</v>
      </c>
      <c r="M11" s="2" t="s">
        <v>18</v>
      </c>
      <c r="N11" s="2">
        <v>3700.4</v>
      </c>
      <c r="P11" s="2" t="s">
        <v>18</v>
      </c>
      <c r="Q11" s="2">
        <v>3226.6</v>
      </c>
      <c r="S11" s="2" t="s">
        <v>18</v>
      </c>
      <c r="T11" s="2">
        <v>2919.6</v>
      </c>
    </row>
    <row r="12" spans="1:20" x14ac:dyDescent="0.25">
      <c r="A12">
        <v>3800</v>
      </c>
      <c r="B12">
        <v>3665</v>
      </c>
      <c r="C12">
        <v>3440</v>
      </c>
      <c r="D12">
        <v>3115</v>
      </c>
      <c r="E12">
        <v>2487</v>
      </c>
      <c r="G12" s="2" t="s">
        <v>19</v>
      </c>
      <c r="H12" s="2">
        <v>132.75823891570721</v>
      </c>
      <c r="J12" s="2" t="s">
        <v>19</v>
      </c>
      <c r="K12" s="2">
        <v>123.12629017936555</v>
      </c>
      <c r="M12" s="2" t="s">
        <v>19</v>
      </c>
      <c r="N12" s="2">
        <v>127.96611530661805</v>
      </c>
      <c r="P12" s="2" t="s">
        <v>19</v>
      </c>
      <c r="Q12" s="2">
        <v>81.809086699868899</v>
      </c>
      <c r="S12" s="2" t="s">
        <v>19</v>
      </c>
      <c r="T12" s="2">
        <v>125.31066727670607</v>
      </c>
    </row>
    <row r="13" spans="1:20" x14ac:dyDescent="0.25">
      <c r="A13">
        <v>3855</v>
      </c>
      <c r="B13">
        <v>3700</v>
      </c>
      <c r="C13">
        <v>3610</v>
      </c>
      <c r="D13">
        <v>3190</v>
      </c>
      <c r="E13">
        <v>2530</v>
      </c>
      <c r="G13" s="2" t="s">
        <v>20</v>
      </c>
      <c r="H13" s="2">
        <v>3880</v>
      </c>
      <c r="J13" s="2" t="s">
        <v>20</v>
      </c>
      <c r="K13" s="2">
        <v>3775</v>
      </c>
      <c r="M13" s="2" t="s">
        <v>20</v>
      </c>
      <c r="N13" s="2">
        <v>3765</v>
      </c>
      <c r="P13" s="2" t="s">
        <v>20</v>
      </c>
      <c r="Q13" s="2">
        <v>3250</v>
      </c>
      <c r="S13" s="2" t="s">
        <v>20</v>
      </c>
      <c r="T13" s="2">
        <v>2796</v>
      </c>
    </row>
    <row r="14" spans="1:20" x14ac:dyDescent="0.25">
      <c r="A14">
        <v>3880</v>
      </c>
      <c r="B14">
        <v>3775</v>
      </c>
      <c r="C14">
        <v>5030</v>
      </c>
      <c r="D14">
        <v>3250</v>
      </c>
      <c r="E14">
        <v>3190</v>
      </c>
      <c r="G14" s="2" t="s">
        <v>21</v>
      </c>
      <c r="H14" s="2">
        <v>3800</v>
      </c>
      <c r="J14" s="2" t="s">
        <v>21</v>
      </c>
      <c r="K14" s="2">
        <v>3875</v>
      </c>
      <c r="M14" s="2" t="s">
        <v>21</v>
      </c>
      <c r="N14" s="2">
        <v>4285</v>
      </c>
      <c r="P14" s="2" t="s">
        <v>21</v>
      </c>
      <c r="Q14" s="2">
        <v>2780</v>
      </c>
      <c r="S14" s="2" t="s">
        <v>21</v>
      </c>
      <c r="T14" s="2">
        <v>3190</v>
      </c>
    </row>
    <row r="15" spans="1:20" x14ac:dyDescent="0.25">
      <c r="A15">
        <v>4040</v>
      </c>
      <c r="B15">
        <v>3800</v>
      </c>
      <c r="C15">
        <v>2800</v>
      </c>
      <c r="D15">
        <v>3645</v>
      </c>
      <c r="E15">
        <v>2426</v>
      </c>
      <c r="G15" s="2" t="s">
        <v>22</v>
      </c>
      <c r="H15" s="2">
        <v>663.79119457853608</v>
      </c>
      <c r="J15" s="2" t="s">
        <v>22</v>
      </c>
      <c r="K15" s="2">
        <v>615.6314508968278</v>
      </c>
      <c r="M15" s="2" t="s">
        <v>22</v>
      </c>
      <c r="N15" s="2">
        <v>639.83057653309027</v>
      </c>
      <c r="P15" s="2" t="s">
        <v>22</v>
      </c>
      <c r="Q15" s="2">
        <v>409.04543349934448</v>
      </c>
      <c r="S15" s="2" t="s">
        <v>22</v>
      </c>
      <c r="T15" s="2">
        <v>626.55333638353034</v>
      </c>
    </row>
    <row r="16" spans="1:20" x14ac:dyDescent="0.25">
      <c r="A16">
        <v>4090</v>
      </c>
      <c r="B16">
        <v>3810</v>
      </c>
      <c r="C16">
        <v>3835</v>
      </c>
      <c r="D16">
        <v>3480</v>
      </c>
      <c r="E16">
        <v>2513</v>
      </c>
      <c r="G16" s="2" t="s">
        <v>23</v>
      </c>
      <c r="H16" s="2">
        <v>440618.75</v>
      </c>
      <c r="J16" s="2" t="s">
        <v>23</v>
      </c>
      <c r="K16" s="2">
        <v>379002.08333333331</v>
      </c>
      <c r="M16" s="2" t="s">
        <v>23</v>
      </c>
      <c r="N16" s="2">
        <v>409383.16666666669</v>
      </c>
      <c r="P16" s="2" t="s">
        <v>23</v>
      </c>
      <c r="Q16" s="2">
        <v>167318.16666666666</v>
      </c>
      <c r="S16" s="2" t="s">
        <v>23</v>
      </c>
      <c r="T16" s="2">
        <v>392569.08333333331</v>
      </c>
    </row>
    <row r="17" spans="1:20" x14ac:dyDescent="0.25">
      <c r="A17">
        <v>4150</v>
      </c>
      <c r="B17">
        <v>3875</v>
      </c>
      <c r="C17">
        <v>3325</v>
      </c>
      <c r="D17">
        <v>2685</v>
      </c>
      <c r="E17">
        <v>3190</v>
      </c>
      <c r="G17" s="2" t="s">
        <v>24</v>
      </c>
      <c r="H17" s="2">
        <v>0.23610098233947463</v>
      </c>
      <c r="J17" s="2" t="s">
        <v>24</v>
      </c>
      <c r="K17" s="2">
        <v>1.761271901626853</v>
      </c>
      <c r="M17" s="2" t="s">
        <v>24</v>
      </c>
      <c r="N17" s="2">
        <v>-0.59449783337605844</v>
      </c>
      <c r="P17" s="2" t="s">
        <v>24</v>
      </c>
      <c r="Q17" s="2">
        <v>1.1297604869668509</v>
      </c>
      <c r="S17" s="2" t="s">
        <v>24</v>
      </c>
      <c r="T17" s="2">
        <v>0.18203231921293606</v>
      </c>
    </row>
    <row r="18" spans="1:20" x14ac:dyDescent="0.25">
      <c r="A18">
        <v>4205</v>
      </c>
      <c r="B18">
        <v>3875</v>
      </c>
      <c r="C18">
        <v>3965</v>
      </c>
      <c r="D18">
        <v>3080</v>
      </c>
      <c r="E18">
        <v>3420</v>
      </c>
      <c r="G18" s="2" t="s">
        <v>25</v>
      </c>
      <c r="H18" s="2">
        <v>0.55564723101390834</v>
      </c>
      <c r="J18" s="2" t="s">
        <v>25</v>
      </c>
      <c r="K18" s="2">
        <v>0.89673963926039035</v>
      </c>
      <c r="M18" s="2" t="s">
        <v>25</v>
      </c>
      <c r="N18" s="2">
        <v>-2.2557922582261726E-2</v>
      </c>
      <c r="P18" s="2" t="s">
        <v>25</v>
      </c>
      <c r="Q18" s="2">
        <v>1.7746395582901666E-2</v>
      </c>
      <c r="S18" s="2" t="s">
        <v>25</v>
      </c>
      <c r="T18" s="2">
        <v>0.85030934265281122</v>
      </c>
    </row>
    <row r="19" spans="1:20" x14ac:dyDescent="0.25">
      <c r="A19">
        <v>4225</v>
      </c>
      <c r="B19">
        <v>4000</v>
      </c>
      <c r="C19">
        <v>3765</v>
      </c>
      <c r="D19">
        <v>2865</v>
      </c>
      <c r="E19">
        <v>2900</v>
      </c>
      <c r="G19" s="2" t="s">
        <v>26</v>
      </c>
      <c r="H19" s="2">
        <v>2630</v>
      </c>
      <c r="J19" s="2" t="s">
        <v>26</v>
      </c>
      <c r="K19" s="2">
        <v>2800</v>
      </c>
      <c r="M19" s="2" t="s">
        <v>26</v>
      </c>
      <c r="N19" s="2">
        <v>2400</v>
      </c>
      <c r="P19" s="2" t="s">
        <v>26</v>
      </c>
      <c r="Q19" s="2">
        <v>2005</v>
      </c>
      <c r="S19" s="2" t="s">
        <v>26</v>
      </c>
      <c r="T19" s="2">
        <v>2485</v>
      </c>
    </row>
    <row r="20" spans="1:20" x14ac:dyDescent="0.25">
      <c r="A20">
        <v>4280</v>
      </c>
      <c r="B20">
        <v>4075</v>
      </c>
      <c r="C20">
        <v>2700</v>
      </c>
      <c r="D20">
        <v>3260</v>
      </c>
      <c r="E20">
        <v>2428</v>
      </c>
      <c r="G20" s="2" t="s">
        <v>27</v>
      </c>
      <c r="H20" s="2">
        <v>3020</v>
      </c>
      <c r="J20" s="2" t="s">
        <v>27</v>
      </c>
      <c r="K20" s="2">
        <v>2700</v>
      </c>
      <c r="M20" s="2" t="s">
        <v>27</v>
      </c>
      <c r="N20" s="2">
        <v>2630</v>
      </c>
      <c r="P20" s="2" t="s">
        <v>27</v>
      </c>
      <c r="Q20" s="2">
        <v>2240</v>
      </c>
      <c r="S20" s="2" t="s">
        <v>27</v>
      </c>
      <c r="T20" s="2">
        <v>2000</v>
      </c>
    </row>
    <row r="21" spans="1:20" x14ac:dyDescent="0.25">
      <c r="A21">
        <v>4340</v>
      </c>
      <c r="B21">
        <v>4175</v>
      </c>
      <c r="C21">
        <v>2630</v>
      </c>
      <c r="D21">
        <v>3440</v>
      </c>
      <c r="E21">
        <v>2290</v>
      </c>
      <c r="G21" s="2" t="s">
        <v>28</v>
      </c>
      <c r="H21" s="2">
        <v>5650</v>
      </c>
      <c r="J21" s="2" t="s">
        <v>28</v>
      </c>
      <c r="K21" s="2">
        <v>5500</v>
      </c>
      <c r="M21" s="2" t="s">
        <v>28</v>
      </c>
      <c r="N21" s="2">
        <v>5030</v>
      </c>
      <c r="P21" s="2" t="s">
        <v>28</v>
      </c>
      <c r="Q21" s="2">
        <v>4245</v>
      </c>
      <c r="S21" s="2" t="s">
        <v>28</v>
      </c>
      <c r="T21" s="2">
        <v>4485</v>
      </c>
    </row>
    <row r="22" spans="1:20" x14ac:dyDescent="0.25">
      <c r="A22">
        <v>4560</v>
      </c>
      <c r="B22">
        <v>4210</v>
      </c>
      <c r="C22">
        <v>4285</v>
      </c>
      <c r="D22">
        <v>2975</v>
      </c>
      <c r="E22">
        <v>2495</v>
      </c>
      <c r="G22" s="2" t="s">
        <v>29</v>
      </c>
      <c r="H22" s="2">
        <v>100150</v>
      </c>
      <c r="J22" s="2" t="s">
        <v>29</v>
      </c>
      <c r="K22" s="2">
        <v>94225</v>
      </c>
      <c r="M22" s="2" t="s">
        <v>29</v>
      </c>
      <c r="N22" s="2">
        <v>92510</v>
      </c>
      <c r="P22" s="2" t="s">
        <v>29</v>
      </c>
      <c r="Q22" s="2">
        <v>80665</v>
      </c>
      <c r="S22" s="2" t="s">
        <v>29</v>
      </c>
      <c r="T22" s="2">
        <v>72990</v>
      </c>
    </row>
    <row r="23" spans="1:20" x14ac:dyDescent="0.25">
      <c r="A23">
        <v>4890</v>
      </c>
      <c r="B23">
        <v>4220</v>
      </c>
      <c r="C23">
        <v>2840</v>
      </c>
      <c r="D23">
        <v>3635</v>
      </c>
      <c r="E23">
        <v>2000</v>
      </c>
      <c r="G23" s="2" t="s">
        <v>30</v>
      </c>
      <c r="H23" s="2">
        <v>25</v>
      </c>
      <c r="J23" s="2" t="s">
        <v>30</v>
      </c>
      <c r="K23" s="2">
        <v>25</v>
      </c>
      <c r="M23" s="2" t="s">
        <v>30</v>
      </c>
      <c r="N23" s="2">
        <v>25</v>
      </c>
      <c r="P23" s="2" t="s">
        <v>30</v>
      </c>
      <c r="Q23" s="2">
        <v>25</v>
      </c>
      <c r="S23" s="2" t="s">
        <v>30</v>
      </c>
      <c r="T23" s="2">
        <v>25</v>
      </c>
    </row>
    <row r="24" spans="1:20" x14ac:dyDescent="0.25">
      <c r="A24">
        <v>4995</v>
      </c>
      <c r="B24">
        <v>4245</v>
      </c>
      <c r="C24">
        <v>3860</v>
      </c>
      <c r="D24">
        <v>4245</v>
      </c>
      <c r="E24">
        <v>3025</v>
      </c>
    </row>
    <row r="25" spans="1:20" x14ac:dyDescent="0.25">
      <c r="A25">
        <v>5000</v>
      </c>
      <c r="B25">
        <v>5000</v>
      </c>
      <c r="C25">
        <v>3175</v>
      </c>
      <c r="D25">
        <v>3200</v>
      </c>
      <c r="E25">
        <v>3337</v>
      </c>
    </row>
    <row r="26" spans="1:20" x14ac:dyDescent="0.25">
      <c r="A26">
        <v>5650</v>
      </c>
      <c r="B26">
        <v>5500</v>
      </c>
      <c r="C26">
        <v>4360</v>
      </c>
      <c r="D26">
        <v>2240</v>
      </c>
      <c r="E26">
        <v>3935</v>
      </c>
    </row>
  </sheetData>
  <sortState xmlns:xlrd2="http://schemas.microsoft.com/office/spreadsheetml/2017/richdata2" ref="B2:E26">
    <sortCondition ref="B2:B26"/>
  </sortState>
  <mergeCells count="5">
    <mergeCell ref="J1:K1"/>
    <mergeCell ref="G1:H1"/>
    <mergeCell ref="M1:N1"/>
    <mergeCell ref="P1:Q1"/>
    <mergeCell ref="S1:T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F29B-29A5-4E70-9AFA-2B6E067BB1D6}">
  <dimension ref="A1:E101"/>
  <sheetViews>
    <sheetView workbookViewId="0">
      <selection activeCell="G5" sqref="G5"/>
    </sheetView>
  </sheetViews>
  <sheetFormatPr defaultRowHeight="15" x14ac:dyDescent="0.25"/>
  <cols>
    <col min="1" max="1" width="8.5703125" bestFit="1" customWidth="1"/>
    <col min="2" max="2" width="8.140625" bestFit="1" customWidth="1"/>
    <col min="3" max="3" width="10.7109375" bestFit="1" customWidth="1"/>
    <col min="4" max="4" width="8.28515625" bestFit="1" customWidth="1"/>
    <col min="5" max="5" width="10.4257812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>
        <v>150</v>
      </c>
      <c r="B2">
        <v>173</v>
      </c>
      <c r="C2">
        <v>198</v>
      </c>
      <c r="D2">
        <v>158</v>
      </c>
      <c r="E2">
        <v>289</v>
      </c>
    </row>
    <row r="3" spans="1:5" x14ac:dyDescent="0.25">
      <c r="A3">
        <v>197</v>
      </c>
      <c r="B3">
        <v>95</v>
      </c>
      <c r="C3">
        <v>131</v>
      </c>
      <c r="D3">
        <v>195</v>
      </c>
      <c r="E3">
        <v>273</v>
      </c>
    </row>
    <row r="4" spans="1:5" x14ac:dyDescent="0.25">
      <c r="A4">
        <v>186</v>
      </c>
      <c r="B4">
        <v>154</v>
      </c>
      <c r="C4">
        <v>158</v>
      </c>
      <c r="D4">
        <v>177</v>
      </c>
      <c r="E4">
        <v>254</v>
      </c>
    </row>
    <row r="5" spans="1:5" x14ac:dyDescent="0.25">
      <c r="A5">
        <v>166</v>
      </c>
      <c r="B5">
        <v>104</v>
      </c>
      <c r="C5">
        <v>123</v>
      </c>
      <c r="D5">
        <v>147</v>
      </c>
      <c r="E5">
        <v>282</v>
      </c>
    </row>
    <row r="6" spans="1:5" x14ac:dyDescent="0.25">
      <c r="A6">
        <v>196</v>
      </c>
      <c r="B6">
        <v>183</v>
      </c>
      <c r="C6">
        <v>139</v>
      </c>
      <c r="D6">
        <v>181</v>
      </c>
      <c r="E6">
        <v>235</v>
      </c>
    </row>
    <row r="7" spans="1:5" x14ac:dyDescent="0.25">
      <c r="A7">
        <v>192</v>
      </c>
      <c r="B7">
        <v>120</v>
      </c>
      <c r="C7">
        <v>160</v>
      </c>
      <c r="D7">
        <v>192</v>
      </c>
      <c r="E7">
        <v>245</v>
      </c>
    </row>
    <row r="8" spans="1:5" x14ac:dyDescent="0.25">
      <c r="A8">
        <v>187</v>
      </c>
      <c r="B8">
        <v>164</v>
      </c>
      <c r="C8">
        <v>139</v>
      </c>
      <c r="D8">
        <v>152</v>
      </c>
      <c r="E8">
        <v>292</v>
      </c>
    </row>
    <row r="9" spans="1:5" x14ac:dyDescent="0.25">
      <c r="A9">
        <v>121</v>
      </c>
      <c r="B9">
        <v>130</v>
      </c>
      <c r="C9">
        <v>209</v>
      </c>
      <c r="D9">
        <v>217</v>
      </c>
      <c r="E9">
        <v>231</v>
      </c>
    </row>
    <row r="10" spans="1:5" x14ac:dyDescent="0.25">
      <c r="A10">
        <v>191</v>
      </c>
      <c r="B10">
        <v>136</v>
      </c>
      <c r="C10">
        <v>182</v>
      </c>
      <c r="D10">
        <v>272</v>
      </c>
      <c r="E10">
        <v>206</v>
      </c>
    </row>
    <row r="11" spans="1:5" x14ac:dyDescent="0.25">
      <c r="A11">
        <v>163</v>
      </c>
      <c r="B11">
        <v>128</v>
      </c>
      <c r="C11">
        <v>167</v>
      </c>
      <c r="D11">
        <v>252</v>
      </c>
      <c r="E11">
        <v>247</v>
      </c>
    </row>
    <row r="12" spans="1:5" x14ac:dyDescent="0.25">
      <c r="A12">
        <v>198</v>
      </c>
      <c r="B12">
        <v>164</v>
      </c>
      <c r="C12">
        <v>151</v>
      </c>
      <c r="D12">
        <v>122</v>
      </c>
      <c r="E12">
        <v>304</v>
      </c>
    </row>
    <row r="13" spans="1:5" x14ac:dyDescent="0.25">
      <c r="A13">
        <v>167</v>
      </c>
      <c r="B13">
        <v>137</v>
      </c>
      <c r="C13">
        <v>126</v>
      </c>
      <c r="D13">
        <v>139</v>
      </c>
      <c r="E13">
        <v>245</v>
      </c>
    </row>
    <row r="14" spans="1:5" x14ac:dyDescent="0.25">
      <c r="A14">
        <v>169</v>
      </c>
      <c r="B14">
        <v>132</v>
      </c>
      <c r="C14">
        <v>152</v>
      </c>
      <c r="D14">
        <v>230</v>
      </c>
      <c r="E14">
        <v>263</v>
      </c>
    </row>
    <row r="15" spans="1:5" x14ac:dyDescent="0.25">
      <c r="A15">
        <v>112</v>
      </c>
      <c r="B15">
        <v>139</v>
      </c>
      <c r="C15">
        <v>148</v>
      </c>
      <c r="D15">
        <v>163</v>
      </c>
      <c r="E15">
        <v>311</v>
      </c>
    </row>
    <row r="16" spans="1:5" x14ac:dyDescent="0.25">
      <c r="A16">
        <v>162</v>
      </c>
      <c r="B16">
        <v>141</v>
      </c>
      <c r="C16">
        <v>130</v>
      </c>
      <c r="D16">
        <v>184</v>
      </c>
      <c r="E16">
        <v>262</v>
      </c>
    </row>
    <row r="17" spans="1:5" x14ac:dyDescent="0.25">
      <c r="A17">
        <v>133</v>
      </c>
      <c r="B17">
        <v>125</v>
      </c>
      <c r="C17">
        <v>131</v>
      </c>
      <c r="D17">
        <v>124</v>
      </c>
      <c r="E17">
        <v>255</v>
      </c>
    </row>
    <row r="18" spans="1:5" x14ac:dyDescent="0.25">
      <c r="A18">
        <v>159</v>
      </c>
      <c r="B18">
        <v>104</v>
      </c>
      <c r="C18">
        <v>179</v>
      </c>
      <c r="D18">
        <v>231</v>
      </c>
      <c r="E18">
        <v>349</v>
      </c>
    </row>
    <row r="19" spans="1:5" x14ac:dyDescent="0.25">
      <c r="A19">
        <v>190</v>
      </c>
      <c r="B19">
        <v>141</v>
      </c>
      <c r="C19">
        <v>173</v>
      </c>
      <c r="D19">
        <v>144</v>
      </c>
      <c r="E19">
        <v>248</v>
      </c>
    </row>
    <row r="20" spans="1:5" x14ac:dyDescent="0.25">
      <c r="A20">
        <v>212</v>
      </c>
      <c r="B20">
        <v>147</v>
      </c>
      <c r="C20">
        <v>152</v>
      </c>
      <c r="D20">
        <v>139</v>
      </c>
      <c r="E20">
        <v>274</v>
      </c>
    </row>
    <row r="21" spans="1:5" x14ac:dyDescent="0.25">
      <c r="A21">
        <v>211</v>
      </c>
      <c r="B21">
        <v>139</v>
      </c>
      <c r="C21">
        <v>152</v>
      </c>
      <c r="D21">
        <v>212</v>
      </c>
      <c r="E21">
        <v>302</v>
      </c>
    </row>
    <row r="22" spans="1:5" x14ac:dyDescent="0.25">
      <c r="A22">
        <v>159</v>
      </c>
      <c r="B22">
        <v>137</v>
      </c>
      <c r="C22">
        <v>124</v>
      </c>
      <c r="D22">
        <v>220</v>
      </c>
      <c r="E22">
        <v>245</v>
      </c>
    </row>
    <row r="23" spans="1:5" x14ac:dyDescent="0.25">
      <c r="A23">
        <v>170</v>
      </c>
      <c r="B23">
        <v>150</v>
      </c>
      <c r="C23">
        <v>125</v>
      </c>
      <c r="D23">
        <v>147</v>
      </c>
      <c r="E23">
        <v>333</v>
      </c>
    </row>
    <row r="24" spans="1:5" x14ac:dyDescent="0.25">
      <c r="A24">
        <v>238</v>
      </c>
      <c r="B24">
        <v>148</v>
      </c>
      <c r="C24">
        <v>128</v>
      </c>
      <c r="D24">
        <v>123</v>
      </c>
      <c r="E24">
        <v>302</v>
      </c>
    </row>
    <row r="25" spans="1:5" x14ac:dyDescent="0.25">
      <c r="A25">
        <v>166</v>
      </c>
      <c r="B25">
        <v>156</v>
      </c>
      <c r="C25">
        <v>163</v>
      </c>
      <c r="D25">
        <v>205</v>
      </c>
      <c r="E25">
        <v>299</v>
      </c>
    </row>
    <row r="26" spans="1:5" x14ac:dyDescent="0.25">
      <c r="A26">
        <v>141</v>
      </c>
      <c r="B26">
        <v>164</v>
      </c>
      <c r="C26">
        <v>193</v>
      </c>
      <c r="D26">
        <v>132</v>
      </c>
      <c r="E26">
        <v>244</v>
      </c>
    </row>
    <row r="27" spans="1:5" x14ac:dyDescent="0.25">
      <c r="A27">
        <v>175</v>
      </c>
      <c r="B27">
        <v>172</v>
      </c>
      <c r="C27">
        <v>172</v>
      </c>
      <c r="D27">
        <v>126</v>
      </c>
      <c r="E27">
        <v>289</v>
      </c>
    </row>
    <row r="28" spans="1:5" x14ac:dyDescent="0.25">
      <c r="A28">
        <v>189</v>
      </c>
      <c r="B28">
        <v>133</v>
      </c>
      <c r="C28">
        <v>173</v>
      </c>
      <c r="D28">
        <v>143</v>
      </c>
      <c r="E28">
        <v>292</v>
      </c>
    </row>
    <row r="29" spans="1:5" x14ac:dyDescent="0.25">
      <c r="A29">
        <v>180</v>
      </c>
      <c r="B29">
        <v>122</v>
      </c>
      <c r="C29">
        <v>133</v>
      </c>
      <c r="D29">
        <v>137</v>
      </c>
      <c r="E29">
        <v>274</v>
      </c>
    </row>
    <row r="30" spans="1:5" x14ac:dyDescent="0.25">
      <c r="A30">
        <v>185</v>
      </c>
      <c r="B30">
        <v>145</v>
      </c>
      <c r="C30">
        <v>133</v>
      </c>
      <c r="D30">
        <v>258</v>
      </c>
      <c r="E30">
        <v>260</v>
      </c>
    </row>
    <row r="31" spans="1:5" x14ac:dyDescent="0.25">
      <c r="A31">
        <v>215</v>
      </c>
      <c r="B31">
        <v>133</v>
      </c>
      <c r="C31">
        <v>135</v>
      </c>
      <c r="D31">
        <v>208</v>
      </c>
      <c r="E31">
        <v>290</v>
      </c>
    </row>
    <row r="32" spans="1:5" x14ac:dyDescent="0.25">
      <c r="A32">
        <v>163</v>
      </c>
      <c r="B32">
        <v>148</v>
      </c>
      <c r="C32">
        <v>179</v>
      </c>
      <c r="D32">
        <v>136</v>
      </c>
      <c r="E32">
        <v>266</v>
      </c>
    </row>
    <row r="33" spans="1:5" x14ac:dyDescent="0.25">
      <c r="A33">
        <v>168</v>
      </c>
      <c r="B33">
        <v>116</v>
      </c>
      <c r="C33">
        <v>150</v>
      </c>
      <c r="D33">
        <v>162</v>
      </c>
      <c r="E33">
        <v>264</v>
      </c>
    </row>
    <row r="34" spans="1:5" x14ac:dyDescent="0.25">
      <c r="A34">
        <v>224</v>
      </c>
      <c r="B34">
        <v>166</v>
      </c>
      <c r="C34">
        <v>178</v>
      </c>
      <c r="D34">
        <v>338</v>
      </c>
      <c r="E34">
        <v>299</v>
      </c>
    </row>
    <row r="35" spans="1:5" x14ac:dyDescent="0.25">
      <c r="A35">
        <v>176</v>
      </c>
      <c r="B35">
        <v>150</v>
      </c>
      <c r="C35">
        <v>179</v>
      </c>
      <c r="D35">
        <v>163</v>
      </c>
      <c r="E35">
        <v>281</v>
      </c>
    </row>
    <row r="36" spans="1:5" x14ac:dyDescent="0.25">
      <c r="A36">
        <v>153</v>
      </c>
      <c r="B36">
        <v>143</v>
      </c>
      <c r="C36">
        <v>142</v>
      </c>
      <c r="D36">
        <v>136</v>
      </c>
      <c r="E36">
        <v>211</v>
      </c>
    </row>
    <row r="37" spans="1:5" x14ac:dyDescent="0.25">
      <c r="A37">
        <v>217</v>
      </c>
      <c r="B37">
        <v>134</v>
      </c>
      <c r="C37">
        <v>146</v>
      </c>
      <c r="D37">
        <v>163</v>
      </c>
      <c r="E37">
        <v>248</v>
      </c>
    </row>
    <row r="38" spans="1:5" x14ac:dyDescent="0.25">
      <c r="A38">
        <v>145</v>
      </c>
      <c r="B38">
        <v>138</v>
      </c>
      <c r="C38">
        <v>147</v>
      </c>
      <c r="D38">
        <v>125</v>
      </c>
      <c r="E38">
        <v>307</v>
      </c>
    </row>
    <row r="39" spans="1:5" x14ac:dyDescent="0.25">
      <c r="A39">
        <v>193</v>
      </c>
      <c r="B39">
        <v>143</v>
      </c>
      <c r="C39">
        <v>201</v>
      </c>
      <c r="D39">
        <v>194</v>
      </c>
      <c r="E39">
        <v>257</v>
      </c>
    </row>
    <row r="40" spans="1:5" x14ac:dyDescent="0.25">
      <c r="A40">
        <v>210</v>
      </c>
      <c r="B40">
        <v>145</v>
      </c>
      <c r="C40">
        <v>148</v>
      </c>
      <c r="D40">
        <v>204</v>
      </c>
      <c r="E40">
        <v>290</v>
      </c>
    </row>
    <row r="41" spans="1:5" x14ac:dyDescent="0.25">
      <c r="A41">
        <v>156</v>
      </c>
      <c r="B41">
        <v>155</v>
      </c>
      <c r="C41">
        <v>176</v>
      </c>
      <c r="D41">
        <v>173</v>
      </c>
      <c r="E41">
        <v>287</v>
      </c>
    </row>
    <row r="42" spans="1:5" x14ac:dyDescent="0.25">
      <c r="A42">
        <v>176</v>
      </c>
      <c r="B42">
        <v>160</v>
      </c>
      <c r="C42">
        <v>176</v>
      </c>
      <c r="D42">
        <v>123</v>
      </c>
      <c r="E42">
        <v>308</v>
      </c>
    </row>
    <row r="43" spans="1:5" x14ac:dyDescent="0.25">
      <c r="A43">
        <v>211</v>
      </c>
      <c r="B43">
        <v>145</v>
      </c>
      <c r="C43">
        <v>150</v>
      </c>
      <c r="D43">
        <v>158</v>
      </c>
      <c r="E43">
        <v>234</v>
      </c>
    </row>
    <row r="44" spans="1:5" x14ac:dyDescent="0.25">
      <c r="A44">
        <v>156</v>
      </c>
      <c r="B44">
        <v>159</v>
      </c>
      <c r="C44">
        <v>143</v>
      </c>
      <c r="D44">
        <v>143</v>
      </c>
      <c r="E44">
        <v>330</v>
      </c>
    </row>
    <row r="45" spans="1:5" x14ac:dyDescent="0.25">
      <c r="A45">
        <v>201</v>
      </c>
      <c r="B45">
        <v>135</v>
      </c>
      <c r="C45">
        <v>149</v>
      </c>
      <c r="D45">
        <v>127</v>
      </c>
      <c r="E45">
        <v>298</v>
      </c>
    </row>
    <row r="46" spans="1:5" x14ac:dyDescent="0.25">
      <c r="A46">
        <v>198</v>
      </c>
      <c r="B46">
        <v>121</v>
      </c>
      <c r="C46">
        <v>130</v>
      </c>
      <c r="D46">
        <v>268</v>
      </c>
      <c r="E46">
        <v>252</v>
      </c>
    </row>
    <row r="47" spans="1:5" x14ac:dyDescent="0.25">
      <c r="A47">
        <v>184</v>
      </c>
      <c r="B47">
        <v>139</v>
      </c>
      <c r="C47">
        <v>161</v>
      </c>
      <c r="D47">
        <v>187</v>
      </c>
      <c r="E47">
        <v>229</v>
      </c>
    </row>
    <row r="48" spans="1:5" x14ac:dyDescent="0.25">
      <c r="A48">
        <v>169</v>
      </c>
      <c r="B48">
        <v>146</v>
      </c>
      <c r="C48">
        <v>157</v>
      </c>
      <c r="D48">
        <v>184</v>
      </c>
      <c r="E48">
        <v>261</v>
      </c>
    </row>
    <row r="49" spans="1:5" x14ac:dyDescent="0.25">
      <c r="A49">
        <v>159</v>
      </c>
      <c r="B49">
        <v>201</v>
      </c>
      <c r="C49">
        <v>126</v>
      </c>
      <c r="D49">
        <v>179</v>
      </c>
      <c r="E49">
        <v>314</v>
      </c>
    </row>
    <row r="50" spans="1:5" x14ac:dyDescent="0.25">
      <c r="A50">
        <v>175</v>
      </c>
      <c r="B50">
        <v>141</v>
      </c>
      <c r="C50">
        <v>176</v>
      </c>
      <c r="D50">
        <v>164</v>
      </c>
      <c r="E50">
        <v>350</v>
      </c>
    </row>
    <row r="51" spans="1:5" x14ac:dyDescent="0.25">
      <c r="A51">
        <v>190</v>
      </c>
      <c r="B51">
        <v>190</v>
      </c>
      <c r="C51">
        <v>191</v>
      </c>
      <c r="D51">
        <v>250</v>
      </c>
      <c r="E51">
        <v>324</v>
      </c>
    </row>
    <row r="52" spans="1:5" x14ac:dyDescent="0.25">
      <c r="A52">
        <v>195</v>
      </c>
      <c r="B52">
        <v>153</v>
      </c>
      <c r="C52">
        <v>165</v>
      </c>
      <c r="D52">
        <v>254</v>
      </c>
      <c r="E52">
        <v>280</v>
      </c>
    </row>
    <row r="53" spans="1:5" x14ac:dyDescent="0.25">
      <c r="A53">
        <v>155</v>
      </c>
      <c r="B53">
        <v>145</v>
      </c>
      <c r="C53">
        <v>155</v>
      </c>
      <c r="D53">
        <v>193</v>
      </c>
      <c r="E53">
        <v>235</v>
      </c>
    </row>
    <row r="54" spans="1:5" x14ac:dyDescent="0.25">
      <c r="A54">
        <v>150</v>
      </c>
      <c r="B54">
        <v>149</v>
      </c>
      <c r="C54">
        <v>190</v>
      </c>
      <c r="D54">
        <v>131</v>
      </c>
      <c r="E54">
        <v>301</v>
      </c>
    </row>
    <row r="55" spans="1:5" x14ac:dyDescent="0.25">
      <c r="A55">
        <v>172</v>
      </c>
      <c r="B55">
        <v>155</v>
      </c>
      <c r="C55">
        <v>150</v>
      </c>
      <c r="D55">
        <v>130</v>
      </c>
      <c r="E55">
        <v>275</v>
      </c>
    </row>
    <row r="56" spans="1:5" x14ac:dyDescent="0.25">
      <c r="A56">
        <v>161</v>
      </c>
      <c r="B56">
        <v>166</v>
      </c>
      <c r="C56">
        <v>137</v>
      </c>
      <c r="D56">
        <v>178</v>
      </c>
      <c r="E56">
        <v>251</v>
      </c>
    </row>
    <row r="57" spans="1:5" x14ac:dyDescent="0.25">
      <c r="A57">
        <v>170</v>
      </c>
      <c r="B57">
        <v>149</v>
      </c>
      <c r="C57">
        <v>185</v>
      </c>
      <c r="D57">
        <v>142</v>
      </c>
      <c r="E57">
        <v>254</v>
      </c>
    </row>
    <row r="58" spans="1:5" x14ac:dyDescent="0.25">
      <c r="A58">
        <v>190</v>
      </c>
      <c r="B58">
        <v>155</v>
      </c>
      <c r="C58">
        <v>173</v>
      </c>
      <c r="D58">
        <v>150</v>
      </c>
      <c r="E58">
        <v>247</v>
      </c>
    </row>
    <row r="59" spans="1:5" x14ac:dyDescent="0.25">
      <c r="A59">
        <v>139</v>
      </c>
      <c r="B59">
        <v>158</v>
      </c>
      <c r="C59">
        <v>139</v>
      </c>
      <c r="D59">
        <v>161</v>
      </c>
      <c r="E59">
        <v>331</v>
      </c>
    </row>
    <row r="60" spans="1:5" x14ac:dyDescent="0.25">
      <c r="A60">
        <v>121</v>
      </c>
      <c r="B60">
        <v>124</v>
      </c>
      <c r="C60">
        <v>122</v>
      </c>
      <c r="D60">
        <v>155</v>
      </c>
      <c r="E60">
        <v>286</v>
      </c>
    </row>
    <row r="61" spans="1:5" x14ac:dyDescent="0.25">
      <c r="A61">
        <v>150</v>
      </c>
      <c r="B61">
        <v>134</v>
      </c>
      <c r="C61">
        <v>200</v>
      </c>
      <c r="D61">
        <v>210</v>
      </c>
      <c r="E61">
        <v>259</v>
      </c>
    </row>
    <row r="62" spans="1:5" x14ac:dyDescent="0.25">
      <c r="A62">
        <v>166</v>
      </c>
      <c r="B62">
        <v>121</v>
      </c>
      <c r="C62">
        <v>157</v>
      </c>
      <c r="D62">
        <v>146</v>
      </c>
      <c r="E62">
        <v>283</v>
      </c>
    </row>
    <row r="63" spans="1:5" x14ac:dyDescent="0.25">
      <c r="A63">
        <v>197</v>
      </c>
      <c r="B63">
        <v>135</v>
      </c>
      <c r="C63">
        <v>121</v>
      </c>
      <c r="D63">
        <v>142</v>
      </c>
      <c r="E63">
        <v>286</v>
      </c>
    </row>
    <row r="64" spans="1:5" x14ac:dyDescent="0.25">
      <c r="A64">
        <v>173</v>
      </c>
      <c r="B64">
        <v>142</v>
      </c>
      <c r="C64">
        <v>211</v>
      </c>
      <c r="D64">
        <v>141</v>
      </c>
      <c r="E64">
        <v>295</v>
      </c>
    </row>
    <row r="65" spans="1:5" x14ac:dyDescent="0.25">
      <c r="A65">
        <v>196</v>
      </c>
      <c r="B65">
        <v>97</v>
      </c>
      <c r="C65">
        <v>166</v>
      </c>
      <c r="D65">
        <v>135</v>
      </c>
      <c r="E65">
        <v>249</v>
      </c>
    </row>
    <row r="66" spans="1:5" x14ac:dyDescent="0.25">
      <c r="A66">
        <v>180</v>
      </c>
      <c r="B66">
        <v>159</v>
      </c>
      <c r="C66">
        <v>127</v>
      </c>
      <c r="D66">
        <v>134</v>
      </c>
      <c r="E66">
        <v>230</v>
      </c>
    </row>
    <row r="67" spans="1:5" x14ac:dyDescent="0.25">
      <c r="A67">
        <v>155</v>
      </c>
      <c r="B67">
        <v>153</v>
      </c>
      <c r="C67">
        <v>187</v>
      </c>
      <c r="D67">
        <v>152</v>
      </c>
      <c r="E67">
        <v>257</v>
      </c>
    </row>
    <row r="68" spans="1:5" x14ac:dyDescent="0.25">
      <c r="A68">
        <v>185</v>
      </c>
      <c r="B68">
        <v>150</v>
      </c>
      <c r="C68">
        <v>194</v>
      </c>
      <c r="D68">
        <v>251</v>
      </c>
      <c r="E68">
        <v>309</v>
      </c>
    </row>
    <row r="69" spans="1:5" x14ac:dyDescent="0.25">
      <c r="A69">
        <v>155</v>
      </c>
      <c r="B69">
        <v>147</v>
      </c>
      <c r="C69">
        <v>136</v>
      </c>
      <c r="D69">
        <v>162</v>
      </c>
      <c r="E69">
        <v>355</v>
      </c>
    </row>
    <row r="70" spans="1:5" x14ac:dyDescent="0.25">
      <c r="A70">
        <v>172</v>
      </c>
      <c r="B70">
        <v>106</v>
      </c>
      <c r="C70">
        <v>205</v>
      </c>
      <c r="D70">
        <v>163</v>
      </c>
      <c r="E70">
        <v>292</v>
      </c>
    </row>
    <row r="71" spans="1:5" x14ac:dyDescent="0.25">
      <c r="A71">
        <v>145</v>
      </c>
      <c r="B71">
        <v>137</v>
      </c>
      <c r="C71">
        <v>173</v>
      </c>
      <c r="D71">
        <v>155</v>
      </c>
      <c r="E71">
        <v>285</v>
      </c>
    </row>
    <row r="72" spans="1:5" x14ac:dyDescent="0.25">
      <c r="A72">
        <v>180</v>
      </c>
      <c r="B72">
        <v>141</v>
      </c>
      <c r="C72">
        <v>154</v>
      </c>
      <c r="D72">
        <v>121</v>
      </c>
      <c r="E72">
        <v>296</v>
      </c>
    </row>
    <row r="73" spans="1:5" x14ac:dyDescent="0.25">
      <c r="A73">
        <v>213</v>
      </c>
      <c r="B73">
        <v>161</v>
      </c>
      <c r="C73">
        <v>127</v>
      </c>
      <c r="D73">
        <v>300</v>
      </c>
      <c r="E73">
        <v>289</v>
      </c>
    </row>
    <row r="74" spans="1:5" x14ac:dyDescent="0.25">
      <c r="A74">
        <v>189</v>
      </c>
      <c r="B74">
        <v>158</v>
      </c>
      <c r="C74">
        <v>134</v>
      </c>
      <c r="D74">
        <v>161</v>
      </c>
      <c r="E74">
        <v>253</v>
      </c>
    </row>
    <row r="75" spans="1:5" x14ac:dyDescent="0.25">
      <c r="A75">
        <v>136</v>
      </c>
      <c r="B75">
        <v>117</v>
      </c>
      <c r="C75">
        <v>189</v>
      </c>
      <c r="D75">
        <v>128</v>
      </c>
      <c r="E75">
        <v>322</v>
      </c>
    </row>
    <row r="76" spans="1:5" x14ac:dyDescent="0.25">
      <c r="A76">
        <v>214</v>
      </c>
      <c r="B76">
        <v>133</v>
      </c>
      <c r="C76">
        <v>136</v>
      </c>
      <c r="D76">
        <v>147</v>
      </c>
      <c r="E76">
        <v>262</v>
      </c>
    </row>
    <row r="77" spans="1:5" x14ac:dyDescent="0.25">
      <c r="A77">
        <v>192</v>
      </c>
      <c r="B77">
        <v>157</v>
      </c>
      <c r="C77">
        <v>150</v>
      </c>
      <c r="D77">
        <v>188</v>
      </c>
      <c r="E77">
        <v>293</v>
      </c>
    </row>
    <row r="78" spans="1:5" x14ac:dyDescent="0.25">
      <c r="A78">
        <v>174</v>
      </c>
      <c r="B78">
        <v>130</v>
      </c>
      <c r="C78">
        <v>212</v>
      </c>
      <c r="D78">
        <v>210</v>
      </c>
      <c r="E78">
        <v>283</v>
      </c>
    </row>
    <row r="79" spans="1:5" x14ac:dyDescent="0.25">
      <c r="A79">
        <v>169</v>
      </c>
      <c r="B79">
        <v>172</v>
      </c>
      <c r="C79">
        <v>157</v>
      </c>
      <c r="D79">
        <v>208</v>
      </c>
      <c r="E79">
        <v>268</v>
      </c>
    </row>
    <row r="80" spans="1:5" x14ac:dyDescent="0.25">
      <c r="A80">
        <v>144</v>
      </c>
      <c r="B80">
        <v>154</v>
      </c>
      <c r="C80">
        <v>162</v>
      </c>
      <c r="D80">
        <v>125</v>
      </c>
      <c r="E80">
        <v>324</v>
      </c>
    </row>
    <row r="81" spans="1:5" x14ac:dyDescent="0.25">
      <c r="A81">
        <v>192</v>
      </c>
      <c r="B81">
        <v>133</v>
      </c>
      <c r="C81">
        <v>193</v>
      </c>
      <c r="D81">
        <v>278</v>
      </c>
      <c r="E81">
        <v>318</v>
      </c>
    </row>
    <row r="82" spans="1:5" x14ac:dyDescent="0.25">
      <c r="A82">
        <v>167</v>
      </c>
      <c r="B82">
        <v>158</v>
      </c>
      <c r="C82">
        <v>157</v>
      </c>
      <c r="D82">
        <v>125</v>
      </c>
      <c r="E82">
        <v>190</v>
      </c>
    </row>
    <row r="83" spans="1:5" x14ac:dyDescent="0.25">
      <c r="A83">
        <v>188</v>
      </c>
      <c r="B83">
        <v>156</v>
      </c>
      <c r="C83">
        <v>134</v>
      </c>
      <c r="D83">
        <v>273</v>
      </c>
      <c r="E83">
        <v>245</v>
      </c>
    </row>
    <row r="84" spans="1:5" x14ac:dyDescent="0.25">
      <c r="A84">
        <v>179</v>
      </c>
      <c r="B84">
        <v>144</v>
      </c>
      <c r="C84">
        <v>156</v>
      </c>
      <c r="D84">
        <v>174</v>
      </c>
      <c r="E84">
        <v>295</v>
      </c>
    </row>
    <row r="85" spans="1:5" x14ac:dyDescent="0.25">
      <c r="A85">
        <v>164</v>
      </c>
      <c r="B85">
        <v>134</v>
      </c>
      <c r="C85">
        <v>158</v>
      </c>
      <c r="D85">
        <v>132</v>
      </c>
      <c r="E85">
        <v>283</v>
      </c>
    </row>
    <row r="86" spans="1:5" x14ac:dyDescent="0.25">
      <c r="A86">
        <v>225</v>
      </c>
      <c r="B86">
        <v>149</v>
      </c>
      <c r="C86">
        <v>198</v>
      </c>
      <c r="D86">
        <v>169</v>
      </c>
      <c r="E86">
        <v>252</v>
      </c>
    </row>
    <row r="87" spans="1:5" x14ac:dyDescent="0.25">
      <c r="A87">
        <v>176</v>
      </c>
      <c r="B87">
        <v>146</v>
      </c>
      <c r="C87">
        <v>179</v>
      </c>
      <c r="D87">
        <v>145</v>
      </c>
      <c r="E87">
        <v>291</v>
      </c>
    </row>
    <row r="88" spans="1:5" x14ac:dyDescent="0.25">
      <c r="A88">
        <v>202</v>
      </c>
      <c r="B88">
        <v>148</v>
      </c>
      <c r="C88">
        <v>139</v>
      </c>
      <c r="D88">
        <v>180</v>
      </c>
      <c r="E88">
        <v>308</v>
      </c>
    </row>
    <row r="89" spans="1:5" x14ac:dyDescent="0.25">
      <c r="A89">
        <v>175</v>
      </c>
      <c r="B89">
        <v>114</v>
      </c>
      <c r="C89">
        <v>223</v>
      </c>
      <c r="D89">
        <v>196</v>
      </c>
      <c r="E89">
        <v>260</v>
      </c>
    </row>
    <row r="90" spans="1:5" x14ac:dyDescent="0.25">
      <c r="A90">
        <v>156</v>
      </c>
      <c r="B90">
        <v>125</v>
      </c>
      <c r="C90">
        <v>136</v>
      </c>
      <c r="D90">
        <v>244</v>
      </c>
      <c r="E90">
        <v>263</v>
      </c>
    </row>
    <row r="91" spans="1:5" x14ac:dyDescent="0.25">
      <c r="A91">
        <v>137</v>
      </c>
      <c r="B91">
        <v>199</v>
      </c>
      <c r="C91">
        <v>153</v>
      </c>
      <c r="D91">
        <v>160</v>
      </c>
      <c r="E91">
        <v>278</v>
      </c>
    </row>
    <row r="92" spans="1:5" x14ac:dyDescent="0.25">
      <c r="A92">
        <v>181</v>
      </c>
      <c r="B92">
        <v>138</v>
      </c>
      <c r="C92">
        <v>151</v>
      </c>
      <c r="D92">
        <v>238</v>
      </c>
      <c r="E92">
        <v>312</v>
      </c>
    </row>
    <row r="93" spans="1:5" x14ac:dyDescent="0.25">
      <c r="A93">
        <v>187</v>
      </c>
      <c r="B93">
        <v>126</v>
      </c>
      <c r="C93">
        <v>132</v>
      </c>
      <c r="D93">
        <v>214</v>
      </c>
      <c r="E93">
        <v>288</v>
      </c>
    </row>
    <row r="94" spans="1:5" x14ac:dyDescent="0.25">
      <c r="A94">
        <v>197</v>
      </c>
      <c r="B94">
        <v>130</v>
      </c>
      <c r="C94">
        <v>127</v>
      </c>
      <c r="D94">
        <v>141</v>
      </c>
      <c r="E94">
        <v>248</v>
      </c>
    </row>
    <row r="95" spans="1:5" x14ac:dyDescent="0.25">
      <c r="A95">
        <v>154</v>
      </c>
      <c r="B95">
        <v>142</v>
      </c>
      <c r="C95">
        <v>151</v>
      </c>
      <c r="D95">
        <v>189</v>
      </c>
      <c r="E95">
        <v>308</v>
      </c>
    </row>
    <row r="96" spans="1:5" x14ac:dyDescent="0.25">
      <c r="A96">
        <v>151</v>
      </c>
      <c r="B96">
        <v>129</v>
      </c>
      <c r="C96">
        <v>153</v>
      </c>
      <c r="D96">
        <v>131</v>
      </c>
      <c r="E96">
        <v>242</v>
      </c>
    </row>
    <row r="97" spans="1:5" x14ac:dyDescent="0.25">
      <c r="A97">
        <v>195</v>
      </c>
      <c r="B97">
        <v>138</v>
      </c>
      <c r="C97">
        <v>145</v>
      </c>
      <c r="D97">
        <v>235</v>
      </c>
      <c r="E97">
        <v>272</v>
      </c>
    </row>
    <row r="98" spans="1:5" x14ac:dyDescent="0.25">
      <c r="A98">
        <v>213</v>
      </c>
      <c r="B98">
        <v>154</v>
      </c>
      <c r="C98">
        <v>178</v>
      </c>
      <c r="D98">
        <v>218</v>
      </c>
      <c r="E98">
        <v>261</v>
      </c>
    </row>
    <row r="99" spans="1:5" x14ac:dyDescent="0.25">
      <c r="A99">
        <v>135</v>
      </c>
      <c r="B99">
        <v>178</v>
      </c>
      <c r="C99">
        <v>133</v>
      </c>
      <c r="D99">
        <v>147</v>
      </c>
      <c r="E99">
        <v>271</v>
      </c>
    </row>
    <row r="100" spans="1:5" x14ac:dyDescent="0.25">
      <c r="A100">
        <v>136</v>
      </c>
      <c r="B100">
        <v>152</v>
      </c>
      <c r="C100">
        <v>124</v>
      </c>
      <c r="D100">
        <v>154</v>
      </c>
      <c r="E100">
        <v>263</v>
      </c>
    </row>
    <row r="101" spans="1:5" x14ac:dyDescent="0.25">
      <c r="A101">
        <v>205</v>
      </c>
      <c r="B101">
        <v>119</v>
      </c>
      <c r="C101">
        <v>180</v>
      </c>
      <c r="D101">
        <v>202</v>
      </c>
      <c r="E101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 Distance Tele Bills Data</vt:lpstr>
      <vt:lpstr>Apartment Rents</vt:lpstr>
      <vt:lpstr>Salary</vt:lpstr>
      <vt:lpstr>Restaurants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gotherwal</dc:creator>
  <cp:lastModifiedBy>206stud080014</cp:lastModifiedBy>
  <dcterms:created xsi:type="dcterms:W3CDTF">2015-06-05T18:17:20Z</dcterms:created>
  <dcterms:modified xsi:type="dcterms:W3CDTF">2026-09-16T09:12:21Z</dcterms:modified>
</cp:coreProperties>
</file>