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Hetuk\Business Statistics\"/>
    </mc:Choice>
  </mc:AlternateContent>
  <xr:revisionPtr revIDLastSave="0" documentId="13_ncr:1_{C1BBEBF7-5E3F-4F3F-974B-3A888610A52D}" xr6:coauthVersionLast="47" xr6:coauthVersionMax="47" xr10:uidLastSave="{00000000-0000-0000-0000-000000000000}"/>
  <bookViews>
    <workbookView xWindow="-120" yWindow="-120" windowWidth="29040" windowHeight="15720" activeTab="6" xr2:uid="{00000000-000D-0000-FFFF-FFFF00000000}"/>
  </bookViews>
  <sheets>
    <sheet name="GSS" sheetId="1" r:id="rId1"/>
    <sheet name="Laptop" sheetId="2" r:id="rId2"/>
    <sheet name="Workforce-IT" sheetId="3" r:id="rId3"/>
    <sheet name="Health" sheetId="5" r:id="rId4"/>
    <sheet name="Millennials_bar_pie" sheetId="6" r:id="rId5"/>
    <sheet name="Poker-Age" sheetId="4" r:id="rId6"/>
    <sheet name="Bills" sheetId="7" r:id="rId7"/>
    <sheet name="returns" sheetId="8" r:id="rId8"/>
    <sheet name="marks" sheetId="9" r:id="rId9"/>
    <sheet name="gasoline" sheetId="10" r:id="rId10"/>
  </sheets>
  <definedNames>
    <definedName name="_xlnm._FilterDatabase" localSheetId="2" hidden="1">'Workforce-IT'!$A$1:$A$501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8" i="7" l="1"/>
  <c r="I15" i="4"/>
  <c r="G14" i="4"/>
  <c r="H14" i="4" s="1"/>
  <c r="F14" i="4"/>
  <c r="E8" i="7"/>
  <c r="F8" i="7" s="1"/>
  <c r="D10" i="7"/>
  <c r="D11" i="7"/>
  <c r="D12" i="7"/>
  <c r="D13" i="7"/>
  <c r="D14" i="7"/>
  <c r="D15" i="7"/>
  <c r="D16" i="7" s="1"/>
  <c r="D9" i="7"/>
  <c r="D10" i="4"/>
  <c r="E4" i="7"/>
  <c r="E3" i="7"/>
  <c r="E5" i="7" s="1"/>
  <c r="E2" i="7"/>
  <c r="D14" i="4"/>
  <c r="J15" i="4"/>
  <c r="J16" i="4"/>
  <c r="J17" i="4"/>
  <c r="J18" i="4"/>
  <c r="J19" i="4"/>
  <c r="J20" i="4"/>
  <c r="J21" i="4"/>
  <c r="J22" i="4"/>
  <c r="J14" i="4"/>
  <c r="G17" i="4"/>
  <c r="I17" i="4"/>
  <c r="I18" i="4" s="1"/>
  <c r="G20" i="4"/>
  <c r="H20" i="4" s="1"/>
  <c r="G19" i="4"/>
  <c r="H19" i="4" s="1"/>
  <c r="I16" i="4"/>
  <c r="H15" i="4"/>
  <c r="H16" i="4"/>
  <c r="H18" i="4"/>
  <c r="H21" i="4"/>
  <c r="H22" i="4"/>
  <c r="G15" i="4"/>
  <c r="G16" i="4"/>
  <c r="G18" i="4"/>
  <c r="G21" i="4"/>
  <c r="G22" i="4"/>
  <c r="F15" i="4"/>
  <c r="F16" i="4"/>
  <c r="F17" i="4"/>
  <c r="F18" i="4"/>
  <c r="F19" i="4"/>
  <c r="F20" i="4"/>
  <c r="F21" i="4"/>
  <c r="F22" i="4"/>
  <c r="E15" i="4"/>
  <c r="E16" i="4"/>
  <c r="E17" i="4"/>
  <c r="E18" i="4"/>
  <c r="E19" i="4"/>
  <c r="E20" i="4"/>
  <c r="E21" i="4"/>
  <c r="E22" i="4"/>
  <c r="E14" i="4"/>
  <c r="D16" i="4"/>
  <c r="D17" i="4"/>
  <c r="D18" i="4"/>
  <c r="D19" i="4"/>
  <c r="D20" i="4"/>
  <c r="D21" i="4"/>
  <c r="D22" i="4"/>
  <c r="D15" i="4"/>
  <c r="C21" i="4"/>
  <c r="C22" i="4" s="1"/>
  <c r="C20" i="4"/>
  <c r="C19" i="4"/>
  <c r="C16" i="4"/>
  <c r="C17" i="4" s="1"/>
  <c r="C18" i="4" s="1"/>
  <c r="C15" i="4"/>
  <c r="D8" i="4"/>
  <c r="D6" i="4"/>
  <c r="D5" i="4"/>
  <c r="F5" i="6"/>
  <c r="F4" i="6"/>
  <c r="F3" i="6"/>
  <c r="F2" i="6"/>
  <c r="E6" i="6"/>
  <c r="E5" i="6"/>
  <c r="E4" i="6"/>
  <c r="E3" i="6"/>
  <c r="E2" i="6"/>
  <c r="D2" i="6" a="1"/>
  <c r="D2" i="6" s="1"/>
  <c r="F5" i="5"/>
  <c r="F4" i="5"/>
  <c r="F3" i="5"/>
  <c r="F2" i="5"/>
  <c r="M4" i="3"/>
  <c r="E6" i="5"/>
  <c r="E5" i="5"/>
  <c r="E4" i="5"/>
  <c r="E3" i="5"/>
  <c r="E2" i="5"/>
  <c r="D2" i="5" a="1"/>
  <c r="D2" i="5" s="1"/>
  <c r="K4" i="3" a="1"/>
  <c r="K4" i="3" s="1"/>
  <c r="L4" i="3" s="1"/>
  <c r="J4" i="3" a="1"/>
  <c r="J4" i="3" s="1"/>
  <c r="F11" i="2"/>
  <c r="F5" i="2"/>
  <c r="F6" i="2"/>
  <c r="F7" i="2"/>
  <c r="F8" i="2"/>
  <c r="F9" i="2"/>
  <c r="F10" i="2"/>
  <c r="F4" i="2"/>
  <c r="E11" i="2"/>
  <c r="E10" i="2"/>
  <c r="E5" i="2"/>
  <c r="E6" i="2"/>
  <c r="E7" i="2"/>
  <c r="E8" i="2"/>
  <c r="E9" i="2"/>
  <c r="E4" i="2"/>
  <c r="F4" i="1"/>
  <c r="F5" i="1"/>
  <c r="F6" i="1"/>
  <c r="F7" i="1"/>
  <c r="F8" i="1"/>
  <c r="F9" i="1"/>
  <c r="F10" i="1"/>
  <c r="F3" i="1"/>
  <c r="E11" i="1"/>
  <c r="E4" i="1"/>
  <c r="E5" i="1"/>
  <c r="E6" i="1"/>
  <c r="E7" i="1"/>
  <c r="E8" i="1"/>
  <c r="E9" i="1"/>
  <c r="E10" i="1"/>
  <c r="E3" i="1"/>
  <c r="G9" i="7" l="1"/>
  <c r="G8" i="7"/>
  <c r="H8" i="7"/>
  <c r="I8" i="7" s="1"/>
  <c r="E9" i="7"/>
  <c r="I19" i="4"/>
  <c r="I20" i="4" s="1"/>
  <c r="I21" i="4" s="1"/>
  <c r="I22" i="4" s="1"/>
  <c r="H17" i="4"/>
  <c r="L5" i="3"/>
  <c r="L9" i="3"/>
  <c r="L8" i="3"/>
  <c r="L7" i="3"/>
  <c r="L6" i="3"/>
  <c r="E10" i="7" l="1"/>
  <c r="H9" i="7"/>
  <c r="F9" i="7"/>
  <c r="F10" i="7"/>
  <c r="L10" i="3"/>
  <c r="J9" i="7" l="1"/>
  <c r="I9" i="7"/>
  <c r="E11" i="7"/>
  <c r="H10" i="7"/>
  <c r="I10" i="7" s="1"/>
  <c r="G10" i="7"/>
  <c r="M5" i="3"/>
  <c r="M8" i="3"/>
  <c r="M7" i="3"/>
  <c r="M9" i="3"/>
  <c r="M6" i="3"/>
  <c r="E12" i="7" l="1"/>
  <c r="H11" i="7"/>
  <c r="I11" i="7" s="1"/>
  <c r="G11" i="7"/>
  <c r="F11" i="7"/>
  <c r="K9" i="7"/>
  <c r="J10" i="7"/>
  <c r="J11" i="7" l="1"/>
  <c r="K10" i="7"/>
  <c r="E13" i="7"/>
  <c r="H12" i="7"/>
  <c r="I12" i="7" s="1"/>
  <c r="G12" i="7"/>
  <c r="F12" i="7"/>
  <c r="E14" i="7" l="1"/>
  <c r="H13" i="7"/>
  <c r="I13" i="7" s="1"/>
  <c r="G13" i="7"/>
  <c r="F13" i="7"/>
  <c r="J12" i="7"/>
  <c r="K11" i="7"/>
  <c r="J13" i="7" l="1"/>
  <c r="K12" i="7"/>
  <c r="E15" i="7"/>
  <c r="H14" i="7"/>
  <c r="I14" i="7" s="1"/>
  <c r="G14" i="7"/>
  <c r="F14" i="7"/>
  <c r="E16" i="7" l="1"/>
  <c r="G15" i="7"/>
  <c r="H15" i="7"/>
  <c r="I15" i="7" s="1"/>
  <c r="F15" i="7"/>
  <c r="J14" i="7"/>
  <c r="K13" i="7"/>
  <c r="J15" i="7" l="1"/>
  <c r="K14" i="7"/>
  <c r="F16" i="7"/>
  <c r="H16" i="7"/>
  <c r="I16" i="7" s="1"/>
  <c r="G16" i="7"/>
  <c r="J16" i="7" l="1"/>
  <c r="K16" i="7" s="1"/>
  <c r="K1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<sst xmlns="http://schemas.openxmlformats.org/spreadsheetml/2006/main" count="2829" uniqueCount="87">
  <si>
    <t>WRKSTAT</t>
  </si>
  <si>
    <t>Working full time</t>
  </si>
  <si>
    <t>Working part time</t>
  </si>
  <si>
    <t>Temporarily not working</t>
  </si>
  <si>
    <t>Unemployed, laid off</t>
  </si>
  <si>
    <t>Retired</t>
  </si>
  <si>
    <t>School</t>
  </si>
  <si>
    <t>Keeping house</t>
  </si>
  <si>
    <t>Other</t>
  </si>
  <si>
    <t>Brand</t>
  </si>
  <si>
    <t xml:space="preserve">HP </t>
  </si>
  <si>
    <t xml:space="preserve">Asus </t>
  </si>
  <si>
    <t xml:space="preserve">Dell </t>
  </si>
  <si>
    <t xml:space="preserve">MS Surface </t>
  </si>
  <si>
    <t xml:space="preserve">Lenovo </t>
  </si>
  <si>
    <t xml:space="preserve">Mac </t>
  </si>
  <si>
    <t>Other brand</t>
  </si>
  <si>
    <t>Job_Role</t>
  </si>
  <si>
    <t>Education_Level</t>
  </si>
  <si>
    <t>Age</t>
  </si>
  <si>
    <t>Experience_Years</t>
  </si>
  <si>
    <t>Salary_LPA</t>
  </si>
  <si>
    <t>Job_Satisfaction</t>
  </si>
  <si>
    <t>Gender</t>
  </si>
  <si>
    <t>Work_Hours</t>
  </si>
  <si>
    <t>Remote_Pref</t>
  </si>
  <si>
    <t>Data Scientist</t>
  </si>
  <si>
    <t>PhD</t>
  </si>
  <si>
    <t>Female</t>
  </si>
  <si>
    <t>Yes</t>
  </si>
  <si>
    <t>Project Manager</t>
  </si>
  <si>
    <t>Bachelors</t>
  </si>
  <si>
    <t>Male</t>
  </si>
  <si>
    <t>No</t>
  </si>
  <si>
    <t>Software Engineer</t>
  </si>
  <si>
    <t>Masters</t>
  </si>
  <si>
    <t>DevOps Engineer</t>
  </si>
  <si>
    <t>QA Engineer</t>
  </si>
  <si>
    <t>Diploma</t>
  </si>
  <si>
    <t>UI/UX Designer</t>
  </si>
  <si>
    <t>Ages</t>
  </si>
  <si>
    <t>Response</t>
  </si>
  <si>
    <t>Quality</t>
  </si>
  <si>
    <t>Fair</t>
  </si>
  <si>
    <t>Good</t>
  </si>
  <si>
    <t>Excellent</t>
  </si>
  <si>
    <t>Poor</t>
  </si>
  <si>
    <t xml:space="preserve">Faith </t>
  </si>
  <si>
    <t>Slightly Religious</t>
  </si>
  <si>
    <t>Not Religious</t>
  </si>
  <si>
    <t>Very Religious</t>
  </si>
  <si>
    <t>Somewhat Religious</t>
  </si>
  <si>
    <t>Frequency</t>
  </si>
  <si>
    <t>Relative Frequency</t>
  </si>
  <si>
    <t>Bills</t>
  </si>
  <si>
    <t>Return A</t>
  </si>
  <si>
    <t>Return B</t>
  </si>
  <si>
    <t>BS Marks</t>
  </si>
  <si>
    <t>MS Marks</t>
  </si>
  <si>
    <t>Year</t>
  </si>
  <si>
    <t>Month</t>
  </si>
  <si>
    <t>Price of Gasoline</t>
  </si>
  <si>
    <t>Min</t>
  </si>
  <si>
    <t>Max</t>
  </si>
  <si>
    <t>n</t>
  </si>
  <si>
    <t>class width</t>
  </si>
  <si>
    <t>Class</t>
  </si>
  <si>
    <t>Midpoint</t>
  </si>
  <si>
    <t>Cummulative Frequency</t>
  </si>
  <si>
    <t xml:space="preserve">Realtive Cummulative  Frequency </t>
  </si>
  <si>
    <t>Total</t>
  </si>
  <si>
    <t>Related Frequency</t>
  </si>
  <si>
    <t>~</t>
  </si>
  <si>
    <t>LOWER LIMIT</t>
  </si>
  <si>
    <t>UPPER LIMIT</t>
  </si>
  <si>
    <t>MIN</t>
  </si>
  <si>
    <t>MAX</t>
  </si>
  <si>
    <t>N</t>
  </si>
  <si>
    <t>FREQUENCY</t>
  </si>
  <si>
    <t>RELATIVE FREQUENCY</t>
  </si>
  <si>
    <t>CUMMULATIVE FREQUENCY</t>
  </si>
  <si>
    <t>RELATIVE CUMMULATIVE FREQUENCY</t>
  </si>
  <si>
    <t>MIDPOINT</t>
  </si>
  <si>
    <t>CLASS WIDTH</t>
  </si>
  <si>
    <t>~9</t>
  </si>
  <si>
    <t>~14</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</si>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</sst>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right"/>
    </xf>
    <xf numFmtId="0" fontId="2" fillId="0" borderId="0" xfId="0" applyFont="1" applyAlignment="1">
      <alignment horizontal="right"/>
    </xf>
    <xf numFmtId="2" fontId="0" fillId="0" borderId="0" xfId="0" applyNumberFormat="1"/>
    <xf numFmtId="164"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colors>
    <mruColors>
      <color rgb="FFB452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GSS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GSS!$D$3:$D$10</c:f>
              <c:strCache>
                <c:ptCount val="8"/>
                <c:pt idx="0">
                  <c:v>Working full time</c:v>
                </c:pt>
                <c:pt idx="1">
                  <c:v>Working part time</c:v>
                </c:pt>
                <c:pt idx="2">
                  <c:v>Temporarily not working</c:v>
                </c:pt>
                <c:pt idx="3">
                  <c:v>Unemployed, laid off</c:v>
                </c:pt>
                <c:pt idx="4">
                  <c:v>Retired</c:v>
                </c:pt>
                <c:pt idx="5">
                  <c:v>School</c:v>
                </c:pt>
                <c:pt idx="6">
                  <c:v>Keeping house</c:v>
                </c:pt>
                <c:pt idx="7">
                  <c:v>Other</c:v>
                </c:pt>
              </c:strCache>
            </c:strRef>
          </c:cat>
          <c:val>
            <c:numRef>
              <c:f>GSS!$E$3:$E$10</c:f>
              <c:numCache>
                <c:formatCode>General</c:formatCode>
                <c:ptCount val="8"/>
                <c:pt idx="0">
                  <c:v>1230</c:v>
                </c:pt>
                <c:pt idx="1">
                  <c:v>273</c:v>
                </c:pt>
                <c:pt idx="2">
                  <c:v>40</c:v>
                </c:pt>
                <c:pt idx="3">
                  <c:v>104</c:v>
                </c:pt>
                <c:pt idx="4">
                  <c:v>460</c:v>
                </c:pt>
                <c:pt idx="5">
                  <c:v>90</c:v>
                </c:pt>
                <c:pt idx="6">
                  <c:v>263</c:v>
                </c:pt>
                <c:pt idx="7">
                  <c:v>76</c:v>
                </c:pt>
              </c:numCache>
            </c:numRef>
          </c:val>
          <c:extLst>
            <c:ext xmlns:c16="http://schemas.microsoft.com/office/drawing/2014/chart" uri="{C3380CC4-5D6E-409C-BE32-E72D297353CC}">
              <c16:uniqueId val="{00000000-B58C-457C-BB94-F136A9834D25}"/>
            </c:ext>
          </c:extLst>
        </c:ser>
        <c:dLbls>
          <c:dLblPos val="outEnd"/>
          <c:showLegendKey val="0"/>
          <c:showVal val="1"/>
          <c:showCatName val="0"/>
          <c:showSerName val="0"/>
          <c:showPercent val="0"/>
          <c:showBubbleSize val="0"/>
        </c:dLbls>
        <c:gapWidth val="182"/>
        <c:axId val="356756287"/>
        <c:axId val="356755807"/>
      </c:barChart>
      <c:catAx>
        <c:axId val="35675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5807"/>
        <c:crosses val="autoZero"/>
        <c:auto val="1"/>
        <c:lblAlgn val="ctr"/>
        <c:lblOffset val="100"/>
        <c:noMultiLvlLbl val="0"/>
      </c:catAx>
      <c:valAx>
        <c:axId val="35675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95-4FB3-896B-2BE9FB594D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95-4FB3-896B-2BE9FB594D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95-4FB3-896B-2BE9FB594D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95-4FB3-896B-2BE9FB594D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95-4FB3-896B-2BE9FB594D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395-4FB3-896B-2BE9FB594DC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395-4FB3-896B-2BE9FB594D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395-4FB3-896B-2BE9FB594D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GSS!$D$3:$D$10</c:f>
              <c:strCache>
                <c:ptCount val="8"/>
                <c:pt idx="0">
                  <c:v>Working full time</c:v>
                </c:pt>
                <c:pt idx="1">
                  <c:v>Working part time</c:v>
                </c:pt>
                <c:pt idx="2">
                  <c:v>Temporarily not working</c:v>
                </c:pt>
                <c:pt idx="3">
                  <c:v>Unemployed, laid off</c:v>
                </c:pt>
                <c:pt idx="4">
                  <c:v>Retired</c:v>
                </c:pt>
                <c:pt idx="5">
                  <c:v>School</c:v>
                </c:pt>
                <c:pt idx="6">
                  <c:v>Keeping house</c:v>
                </c:pt>
                <c:pt idx="7">
                  <c:v>Other</c:v>
                </c:pt>
              </c:strCache>
            </c:strRef>
          </c:cat>
          <c:val>
            <c:numRef>
              <c:f>GSS!$F$3:$F$10</c:f>
              <c:numCache>
                <c:formatCode>0.00</c:formatCode>
                <c:ptCount val="8"/>
                <c:pt idx="0">
                  <c:v>48.501577287066247</c:v>
                </c:pt>
                <c:pt idx="1">
                  <c:v>10.764984227129338</c:v>
                </c:pt>
                <c:pt idx="2">
                  <c:v>1.5772870662460567</c:v>
                </c:pt>
                <c:pt idx="3">
                  <c:v>4.1009463722397479</c:v>
                </c:pt>
                <c:pt idx="4">
                  <c:v>18.138801261829656</c:v>
                </c:pt>
                <c:pt idx="5">
                  <c:v>3.5488958990536279</c:v>
                </c:pt>
                <c:pt idx="6">
                  <c:v>10.370662460567823</c:v>
                </c:pt>
                <c:pt idx="7">
                  <c:v>2.9968454258675079</c:v>
                </c:pt>
              </c:numCache>
            </c:numRef>
          </c:val>
          <c:extLst>
            <c:ext xmlns:c16="http://schemas.microsoft.com/office/drawing/2014/chart" uri="{C3380CC4-5D6E-409C-BE32-E72D297353CC}">
              <c16:uniqueId val="{00000000-1124-4D88-BEE8-35A555B5FF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Laptop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Laptop!$D$4:$D$10</c:f>
              <c:strCache>
                <c:ptCount val="7"/>
                <c:pt idx="0">
                  <c:v>HP </c:v>
                </c:pt>
                <c:pt idx="1">
                  <c:v>Asus </c:v>
                </c:pt>
                <c:pt idx="2">
                  <c:v>Dell </c:v>
                </c:pt>
                <c:pt idx="3">
                  <c:v>MS Surface </c:v>
                </c:pt>
                <c:pt idx="4">
                  <c:v>Lenovo </c:v>
                </c:pt>
                <c:pt idx="5">
                  <c:v>Mac </c:v>
                </c:pt>
                <c:pt idx="6">
                  <c:v>Other brand</c:v>
                </c:pt>
              </c:strCache>
            </c:strRef>
          </c:cat>
          <c:val>
            <c:numRef>
              <c:f>Laptop!$E$4:$E$10</c:f>
              <c:numCache>
                <c:formatCode>General</c:formatCode>
                <c:ptCount val="7"/>
                <c:pt idx="0">
                  <c:v>90</c:v>
                </c:pt>
                <c:pt idx="1">
                  <c:v>19</c:v>
                </c:pt>
                <c:pt idx="2">
                  <c:v>62</c:v>
                </c:pt>
                <c:pt idx="3">
                  <c:v>13</c:v>
                </c:pt>
                <c:pt idx="4">
                  <c:v>59</c:v>
                </c:pt>
                <c:pt idx="5">
                  <c:v>25</c:v>
                </c:pt>
                <c:pt idx="6">
                  <c:v>17</c:v>
                </c:pt>
              </c:numCache>
            </c:numRef>
          </c:val>
          <c:extLst>
            <c:ext xmlns:c16="http://schemas.microsoft.com/office/drawing/2014/chart" uri="{C3380CC4-5D6E-409C-BE32-E72D297353CC}">
              <c16:uniqueId val="{00000000-E491-411A-B7C1-44DA744A2FE7}"/>
            </c:ext>
          </c:extLst>
        </c:ser>
        <c:dLbls>
          <c:dLblPos val="outEnd"/>
          <c:showLegendKey val="0"/>
          <c:showVal val="1"/>
          <c:showCatName val="0"/>
          <c:showSerName val="0"/>
          <c:showPercent val="0"/>
          <c:showBubbleSize val="0"/>
        </c:dLbls>
        <c:gapWidth val="219"/>
        <c:overlap val="-27"/>
        <c:axId val="379231135"/>
        <c:axId val="379231615"/>
      </c:barChart>
      <c:catAx>
        <c:axId val="37923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31615"/>
        <c:crosses val="autoZero"/>
        <c:auto val="1"/>
        <c:lblAlgn val="ctr"/>
        <c:lblOffset val="100"/>
        <c:noMultiLvlLbl val="0"/>
      </c:catAx>
      <c:valAx>
        <c:axId val="379231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31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F6-40D7-BEB5-F1695A803F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F6-40D7-BEB5-F1695A803F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F6-40D7-BEB5-F1695A803F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F6-40D7-BEB5-F1695A803F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F6-40D7-BEB5-F1695A803F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F6-40D7-BEB5-F1695A803F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F6-40D7-BEB5-F1695A803F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Laptop!$D$4:$D$10</c:f>
              <c:strCache>
                <c:ptCount val="7"/>
                <c:pt idx="0">
                  <c:v>HP </c:v>
                </c:pt>
                <c:pt idx="1">
                  <c:v>Asus </c:v>
                </c:pt>
                <c:pt idx="2">
                  <c:v>Dell </c:v>
                </c:pt>
                <c:pt idx="3">
                  <c:v>MS Surface </c:v>
                </c:pt>
                <c:pt idx="4">
                  <c:v>Lenovo </c:v>
                </c:pt>
                <c:pt idx="5">
                  <c:v>Mac </c:v>
                </c:pt>
                <c:pt idx="6">
                  <c:v>Other brand</c:v>
                </c:pt>
              </c:strCache>
            </c:strRef>
          </c:cat>
          <c:val>
            <c:numRef>
              <c:f>Laptop!$F$4:$F$10</c:f>
              <c:numCache>
                <c:formatCode>0.00</c:formatCode>
                <c:ptCount val="7"/>
                <c:pt idx="0">
                  <c:v>31.578947368421051</c:v>
                </c:pt>
                <c:pt idx="1">
                  <c:v>6.666666666666667</c:v>
                </c:pt>
                <c:pt idx="2">
                  <c:v>21.754385964912281</c:v>
                </c:pt>
                <c:pt idx="3">
                  <c:v>4.5614035087719298</c:v>
                </c:pt>
                <c:pt idx="4">
                  <c:v>20.701754385964914</c:v>
                </c:pt>
                <c:pt idx="5">
                  <c:v>8.7719298245614024</c:v>
                </c:pt>
                <c:pt idx="6">
                  <c:v>5.9649122807017543</c:v>
                </c:pt>
              </c:numCache>
            </c:numRef>
          </c:val>
          <c:extLst>
            <c:ext xmlns:c16="http://schemas.microsoft.com/office/drawing/2014/chart" uri="{C3380CC4-5D6E-409C-BE32-E72D297353CC}">
              <c16:uniqueId val="{00000000-1F7A-4D97-9036-0B4456F04A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Workforce-IT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'Workforce-IT'!$K$4:$K$9</c:f>
              <c:strCache>
                <c:ptCount val="6"/>
                <c:pt idx="0">
                  <c:v>Data Scientist</c:v>
                </c:pt>
                <c:pt idx="1">
                  <c:v>Project Manager</c:v>
                </c:pt>
                <c:pt idx="2">
                  <c:v>Software Engineer</c:v>
                </c:pt>
                <c:pt idx="3">
                  <c:v>DevOps Engineer</c:v>
                </c:pt>
                <c:pt idx="4">
                  <c:v>QA Engineer</c:v>
                </c:pt>
                <c:pt idx="5">
                  <c:v>UI/UX Designer</c:v>
                </c:pt>
              </c:strCache>
            </c:strRef>
          </c:cat>
          <c:val>
            <c:numRef>
              <c:f>'Workforce-IT'!$L$4:$L$9</c:f>
              <c:numCache>
                <c:formatCode>General</c:formatCode>
                <c:ptCount val="6"/>
                <c:pt idx="0">
                  <c:v>100</c:v>
                </c:pt>
                <c:pt idx="1">
                  <c:v>83</c:v>
                </c:pt>
                <c:pt idx="2">
                  <c:v>166</c:v>
                </c:pt>
                <c:pt idx="3">
                  <c:v>53</c:v>
                </c:pt>
                <c:pt idx="4">
                  <c:v>47</c:v>
                </c:pt>
                <c:pt idx="5">
                  <c:v>51</c:v>
                </c:pt>
              </c:numCache>
            </c:numRef>
          </c:val>
          <c:extLst>
            <c:ext xmlns:c16="http://schemas.microsoft.com/office/drawing/2014/chart" uri="{C3380CC4-5D6E-409C-BE32-E72D297353CC}">
              <c16:uniqueId val="{00000000-C1DB-4C76-B3E3-91CB9C590ACD}"/>
            </c:ext>
          </c:extLst>
        </c:ser>
        <c:dLbls>
          <c:dLblPos val="outEnd"/>
          <c:showLegendKey val="0"/>
          <c:showVal val="1"/>
          <c:showCatName val="0"/>
          <c:showSerName val="0"/>
          <c:showPercent val="0"/>
          <c:showBubbleSize val="0"/>
        </c:dLbls>
        <c:gapWidth val="219"/>
        <c:axId val="1525046591"/>
        <c:axId val="1525044671"/>
      </c:barChart>
      <c:catAx>
        <c:axId val="1525046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44671"/>
        <c:crosses val="autoZero"/>
        <c:auto val="1"/>
        <c:lblAlgn val="ctr"/>
        <c:lblOffset val="100"/>
        <c:noMultiLvlLbl val="0"/>
      </c:catAx>
      <c:valAx>
        <c:axId val="1525044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4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ysClr val="windowText" lastClr="000000">
                    <a:lumMod val="65000"/>
                    <a:lumOff val="35000"/>
                  </a:sysClr>
                </a:solidFill>
              </a:rPr>
              <a:t>Workforce-IT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84-4973-AD21-0B5387993E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84-4973-AD21-0B5387993E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84-4973-AD21-0B5387993E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84-4973-AD21-0B5387993E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84-4973-AD21-0B5387993E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84-4973-AD21-0B5387993E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'Workforce-IT'!$K$4:$K$9</c:f>
              <c:strCache>
                <c:ptCount val="6"/>
                <c:pt idx="0">
                  <c:v>Data Scientist</c:v>
                </c:pt>
                <c:pt idx="1">
                  <c:v>Project Manager</c:v>
                </c:pt>
                <c:pt idx="2">
                  <c:v>Software Engineer</c:v>
                </c:pt>
                <c:pt idx="3">
                  <c:v>DevOps Engineer</c:v>
                </c:pt>
                <c:pt idx="4">
                  <c:v>QA Engineer</c:v>
                </c:pt>
                <c:pt idx="5">
                  <c:v>UI/UX Designer</c:v>
                </c:pt>
              </c:strCache>
            </c:strRef>
          </c:cat>
          <c:val>
            <c:numRef>
              <c:f>'Workforce-IT'!$M$4:$M$9</c:f>
              <c:numCache>
                <c:formatCode>General</c:formatCode>
                <c:ptCount val="6"/>
                <c:pt idx="0">
                  <c:v>17.333333333333336</c:v>
                </c:pt>
                <c:pt idx="1">
                  <c:v>16.600000000000001</c:v>
                </c:pt>
                <c:pt idx="2">
                  <c:v>33.200000000000003</c:v>
                </c:pt>
                <c:pt idx="3">
                  <c:v>10.6</c:v>
                </c:pt>
                <c:pt idx="4">
                  <c:v>9.4</c:v>
                </c:pt>
                <c:pt idx="5">
                  <c:v>10.199999999999999</c:v>
                </c:pt>
              </c:numCache>
            </c:numRef>
          </c:val>
          <c:extLst>
            <c:ext xmlns:c16="http://schemas.microsoft.com/office/drawing/2014/chart" uri="{C3380CC4-5D6E-409C-BE32-E72D297353CC}">
              <c16:uniqueId val="{00000000-5141-414D-A5A3-ABFFAF95B5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Health!$D$2:$D$5</c:f>
              <c:strCache>
                <c:ptCount val="4"/>
                <c:pt idx="0">
                  <c:v>Fair</c:v>
                </c:pt>
                <c:pt idx="1">
                  <c:v>Good</c:v>
                </c:pt>
                <c:pt idx="2">
                  <c:v>Excellent</c:v>
                </c:pt>
                <c:pt idx="3">
                  <c:v>Poor</c:v>
                </c:pt>
              </c:strCache>
            </c:strRef>
          </c:cat>
          <c:val>
            <c:numRef>
              <c:f>Health!$E$2:$E$5</c:f>
              <c:numCache>
                <c:formatCode>General</c:formatCode>
                <c:ptCount val="4"/>
                <c:pt idx="0">
                  <c:v>26</c:v>
                </c:pt>
                <c:pt idx="1">
                  <c:v>75</c:v>
                </c:pt>
                <c:pt idx="2">
                  <c:v>31</c:v>
                </c:pt>
                <c:pt idx="3">
                  <c:v>18</c:v>
                </c:pt>
              </c:numCache>
            </c:numRef>
          </c:val>
          <c:extLst>
            <c:ext xmlns:c16="http://schemas.microsoft.com/office/drawing/2014/chart" uri="{C3380CC4-5D6E-409C-BE32-E72D297353CC}">
              <c16:uniqueId val="{00000000-E093-4001-9380-5D3078B20253}"/>
            </c:ext>
          </c:extLst>
        </c:ser>
        <c:dLbls>
          <c:dLblPos val="outEnd"/>
          <c:showLegendKey val="0"/>
          <c:showVal val="1"/>
          <c:showCatName val="0"/>
          <c:showSerName val="0"/>
          <c:showPercent val="0"/>
          <c:showBubbleSize val="0"/>
        </c:dLbls>
        <c:gapWidth val="182"/>
        <c:axId val="1601501743"/>
        <c:axId val="1601502703"/>
      </c:barChart>
      <c:catAx>
        <c:axId val="160150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02703"/>
        <c:crosses val="autoZero"/>
        <c:auto val="1"/>
        <c:lblAlgn val="ctr"/>
        <c:lblOffset val="100"/>
        <c:noMultiLvlLbl val="0"/>
      </c:catAx>
      <c:valAx>
        <c:axId val="1601502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Milennials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Millennials_bar_pie!$D$2:$D$5</c:f>
              <c:strCache>
                <c:ptCount val="4"/>
                <c:pt idx="0">
                  <c:v>Slightly Religious</c:v>
                </c:pt>
                <c:pt idx="1">
                  <c:v>Not Religious</c:v>
                </c:pt>
                <c:pt idx="2">
                  <c:v>Very Religious</c:v>
                </c:pt>
                <c:pt idx="3">
                  <c:v>Somewhat Religious</c:v>
                </c:pt>
              </c:strCache>
            </c:strRef>
          </c:cat>
          <c:val>
            <c:numRef>
              <c:f>Millennials_bar_pie!$E$2:$E$5</c:f>
              <c:numCache>
                <c:formatCode>General</c:formatCode>
                <c:ptCount val="4"/>
                <c:pt idx="0">
                  <c:v>129</c:v>
                </c:pt>
                <c:pt idx="1">
                  <c:v>210</c:v>
                </c:pt>
                <c:pt idx="2">
                  <c:v>78</c:v>
                </c:pt>
                <c:pt idx="3">
                  <c:v>183</c:v>
                </c:pt>
              </c:numCache>
            </c:numRef>
          </c:val>
          <c:extLst>
            <c:ext xmlns:c16="http://schemas.microsoft.com/office/drawing/2014/chart" uri="{C3380CC4-5D6E-409C-BE32-E72D297353CC}">
              <c16:uniqueId val="{00000000-A338-4782-9B42-E71B3DBA4C1B}"/>
            </c:ext>
          </c:extLst>
        </c:ser>
        <c:dLbls>
          <c:dLblPos val="outEnd"/>
          <c:showLegendKey val="0"/>
          <c:showVal val="1"/>
          <c:showCatName val="0"/>
          <c:showSerName val="0"/>
          <c:showPercent val="0"/>
          <c:showBubbleSize val="0"/>
        </c:dLbls>
        <c:gapWidth val="182"/>
        <c:axId val="1602734959"/>
        <c:axId val="1602735439"/>
      </c:barChart>
      <c:catAx>
        <c:axId val="1602734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Faith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35439"/>
        <c:crosses val="autoZero"/>
        <c:auto val="1"/>
        <c:lblAlgn val="ctr"/>
        <c:lblOffset val="100"/>
        <c:noMultiLvlLbl val="0"/>
      </c:catAx>
      <c:valAx>
        <c:axId val="160273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34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Milennials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F-4195-B1B7-A964BA55F0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F-4195-B1B7-A964BA55F0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DF-4195-B1B7-A964BA55F0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DF-4195-B1B7-A964BA55F0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Millennials_bar_pie!$D$2:$D$5</c:f>
              <c:strCache>
                <c:ptCount val="4"/>
                <c:pt idx="0">
                  <c:v>Slightly Religious</c:v>
                </c:pt>
                <c:pt idx="1">
                  <c:v>Not Religious</c:v>
                </c:pt>
                <c:pt idx="2">
                  <c:v>Very Religious</c:v>
                </c:pt>
                <c:pt idx="3">
                  <c:v>Somewhat Religious</c:v>
                </c:pt>
              </c:strCache>
            </c:strRef>
          </c:cat>
          <c:val>
            <c:numRef>
              <c:f>Millennials_bar_pie!$F$2:$F$5</c:f>
              <c:numCache>
                <c:formatCode>General</c:formatCode>
                <c:ptCount val="4"/>
                <c:pt idx="0">
                  <c:v>21.5</c:v>
                </c:pt>
                <c:pt idx="1">
                  <c:v>35</c:v>
                </c:pt>
                <c:pt idx="2">
                  <c:v>13</c:v>
                </c:pt>
                <c:pt idx="3">
                  <c:v>30.5</c:v>
                </c:pt>
              </c:numCache>
            </c:numRef>
          </c:val>
          <c:extLst>
            <c:ext xmlns:c16="http://schemas.microsoft.com/office/drawing/2014/chart" uri="{C3380CC4-5D6E-409C-BE32-E72D297353CC}">
              <c16:uniqueId val="{00000000-26DD-4801-9CD8-909DEC1095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POKER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gradFill>
              <a:gsLst>
                <a:gs pos="37000">
                  <a:schemeClr val="accent2">
                    <a:lumMod val="60000"/>
                    <a:lumOff val="40000"/>
                  </a:schemeClr>
                </a:gs>
                <a:gs pos="0">
                  <a:schemeClr val="accent4">
                    <a:lumMod val="40000"/>
                    <a:lumOff val="60000"/>
                  </a:schemeClr>
                </a:gs>
                <a:gs pos="74000">
                  <a:schemeClr val="accent1">
                    <a:lumMod val="60000"/>
                    <a:lumOff val="40000"/>
                  </a:schemeClr>
                </a:gs>
                <a:gs pos="83000">
                  <a:schemeClr val="accent6">
                    <a:lumMod val="60000"/>
                    <a:lumOff val="40000"/>
                  </a:schemeClr>
                </a:gs>
                <a:gs pos="100000">
                  <a:srgbClr val="B4524A"/>
                </a:gs>
              </a:gsLst>
              <a:lin ang="5400000" scaled="1"/>
            </a:gra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'Poker-Age'!$E$14:$E$22</c:f>
              <c:strCache>
                <c:ptCount val="9"/>
                <c:pt idx="0">
                  <c:v>16-26</c:v>
                </c:pt>
                <c:pt idx="1">
                  <c:v>26-36</c:v>
                </c:pt>
                <c:pt idx="2">
                  <c:v>36-46</c:v>
                </c:pt>
                <c:pt idx="3">
                  <c:v>46-56</c:v>
                </c:pt>
                <c:pt idx="4">
                  <c:v>56-66</c:v>
                </c:pt>
                <c:pt idx="5">
                  <c:v>66-76</c:v>
                </c:pt>
                <c:pt idx="6">
                  <c:v>76-86</c:v>
                </c:pt>
                <c:pt idx="7">
                  <c:v>86-96</c:v>
                </c:pt>
                <c:pt idx="8">
                  <c:v>96-106</c:v>
                </c:pt>
              </c:strCache>
            </c:strRef>
          </c:cat>
          <c:val>
            <c:numRef>
              <c:f>'Poker-Age'!$G$14:$G$22</c:f>
              <c:numCache>
                <c:formatCode>General</c:formatCode>
                <c:ptCount val="9"/>
                <c:pt idx="0">
                  <c:v>16</c:v>
                </c:pt>
                <c:pt idx="1">
                  <c:v>33</c:v>
                </c:pt>
                <c:pt idx="2">
                  <c:v>21</c:v>
                </c:pt>
                <c:pt idx="3">
                  <c:v>33</c:v>
                </c:pt>
                <c:pt idx="4">
                  <c:v>38</c:v>
                </c:pt>
                <c:pt idx="5">
                  <c:v>32</c:v>
                </c:pt>
                <c:pt idx="6">
                  <c:v>19</c:v>
                </c:pt>
                <c:pt idx="7">
                  <c:v>6</c:v>
                </c:pt>
                <c:pt idx="8">
                  <c:v>2</c:v>
                </c:pt>
              </c:numCache>
            </c:numRef>
          </c:val>
          <c:extLst>
            <c:ext xmlns:c16="http://schemas.microsoft.com/office/drawing/2014/chart" uri="{C3380CC4-5D6E-409C-BE32-E72D297353CC}">
              <c16:uniqueId val="{00000000-88D2-4CAF-AD8E-7FD0D1F75262}"/>
            </c:ext>
          </c:extLst>
        </c:ser>
        <c:dLbls>
          <c:dLblPos val="outEnd"/>
          <c:showLegendKey val="0"/>
          <c:showVal val="1"/>
          <c:showCatName val="0"/>
          <c:showSerName val="0"/>
          <c:showPercent val="0"/>
          <c:showBubbleSize val="0"/>
        </c:dLbls>
        <c:gapWidth val="0"/>
        <c:overlap val="-27"/>
        <c:axId val="1525478703"/>
        <c:axId val="1601687583"/>
      </c:barChart>
      <c:catAx>
        <c:axId val="152547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687583"/>
        <c:crosses val="autoZero"/>
        <c:auto val="1"/>
        <c:lblAlgn val="ctr"/>
        <c:lblOffset val="100"/>
        <c:noMultiLvlLbl val="0"/>
      </c:catAx>
      <c:valAx>
        <c:axId val="1601687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7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gradFill>
                <a:gsLst>
                  <a:gs pos="0">
                    <a:schemeClr val="accent2">
                      <a:lumMod val="60000"/>
                      <a:lumOff val="40000"/>
                    </a:schemeClr>
                  </a:gs>
                  <a:gs pos="74000">
                    <a:schemeClr val="accent4">
                      <a:lumMod val="60000"/>
                      <a:lumOff val="40000"/>
                    </a:schemeClr>
                  </a:gs>
                  <a:gs pos="83000">
                    <a:schemeClr val="accent6">
                      <a:lumMod val="60000"/>
                      <a:lumOff val="40000"/>
                    </a:schemeClr>
                  </a:gs>
                  <a:gs pos="100000">
                    <a:schemeClr val="accent1">
                      <a:lumMod val="60000"/>
                      <a:lumOff val="40000"/>
                    </a:schemeClr>
                  </a:gs>
                </a:gsLst>
                <a:lin ang="5400000" scaled="1"/>
              </a:gra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'Poker-Age'!$F$14:$F$22</c:f>
              <c:numCache>
                <c:formatCode>General</c:formatCode>
                <c:ptCount val="9"/>
                <c:pt idx="0">
                  <c:v>21</c:v>
                </c:pt>
                <c:pt idx="1">
                  <c:v>31</c:v>
                </c:pt>
                <c:pt idx="2">
                  <c:v>41</c:v>
                </c:pt>
                <c:pt idx="3">
                  <c:v>51</c:v>
                </c:pt>
                <c:pt idx="4">
                  <c:v>61</c:v>
                </c:pt>
                <c:pt idx="5">
                  <c:v>71</c:v>
                </c:pt>
                <c:pt idx="6">
                  <c:v>81</c:v>
                </c:pt>
                <c:pt idx="7">
                  <c:v>91</c:v>
                </c:pt>
                <c:pt idx="8">
                  <c:v>101</c:v>
                </c:pt>
              </c:numCache>
            </c:numRef>
          </c:xVal>
          <c:yVal>
            <c:numRef>
              <c:f>'Poker-Age'!$G$14:$G$22</c:f>
              <c:numCache>
                <c:formatCode>General</c:formatCode>
                <c:ptCount val="9"/>
                <c:pt idx="0">
                  <c:v>16</c:v>
                </c:pt>
                <c:pt idx="1">
                  <c:v>33</c:v>
                </c:pt>
                <c:pt idx="2">
                  <c:v>21</c:v>
                </c:pt>
                <c:pt idx="3">
                  <c:v>33</c:v>
                </c:pt>
                <c:pt idx="4">
                  <c:v>38</c:v>
                </c:pt>
                <c:pt idx="5">
                  <c:v>32</c:v>
                </c:pt>
                <c:pt idx="6">
                  <c:v>19</c:v>
                </c:pt>
                <c:pt idx="7">
                  <c:v>6</c:v>
                </c:pt>
                <c:pt idx="8">
                  <c:v>2</c:v>
                </c:pt>
              </c:numCache>
            </c:numRef>
          </c:yVal>
          <c:smooth val="0"/>
          <c:extLst>
            <c:ext xmlns:c16="http://schemas.microsoft.com/office/drawing/2014/chart" uri="{C3380CC4-5D6E-409C-BE32-E72D297353CC}">
              <c16:uniqueId val="{00000000-1308-41D2-810E-0DC599A8EE1C}"/>
            </c:ext>
          </c:extLst>
        </c:ser>
        <c:dLbls>
          <c:dLblPos val="t"/>
          <c:showLegendKey val="0"/>
          <c:showVal val="1"/>
          <c:showCatName val="0"/>
          <c:showSerName val="0"/>
          <c:showPercent val="0"/>
          <c:showBubbleSize val="0"/>
        </c:dLbls>
        <c:axId val="1477123679"/>
        <c:axId val="1477138559"/>
      </c:scatterChart>
      <c:valAx>
        <c:axId val="1477123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38559"/>
        <c:crosses val="autoZero"/>
        <c:crossBetween val="midCat"/>
      </c:valAx>
      <c:valAx>
        <c:axId val="147713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23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2">
                    <a:lumMod val="60000"/>
                    <a:lumOff val="40000"/>
                  </a:schemeClr>
                </a:gs>
                <a:gs pos="74000">
                  <a:schemeClr val="accent4">
                    <a:lumMod val="60000"/>
                    <a:lumOff val="40000"/>
                  </a:schemeClr>
                </a:gs>
                <a:gs pos="83000">
                  <a:schemeClr val="accent6">
                    <a:lumMod val="60000"/>
                    <a:lumOff val="40000"/>
                  </a:schemeClr>
                </a:gs>
                <a:gs pos="100000">
                  <a:schemeClr val="accent1">
                    <a:lumMod val="60000"/>
                    <a:lumOff val="40000"/>
                  </a:schemeClr>
                </a:gs>
              </a:gsLst>
              <a:lin ang="5400000" scaled="1"/>
            </a:gradFill>
            <a:ln w="254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Bills!$F$8:$F$16</c:f>
              <c:strCache>
                <c:ptCount val="9"/>
                <c:pt idx="0">
                  <c:v>0-14</c:v>
                </c:pt>
                <c:pt idx="1">
                  <c:v>14-28</c:v>
                </c:pt>
                <c:pt idx="2">
                  <c:v>28-42</c:v>
                </c:pt>
                <c:pt idx="3">
                  <c:v>42-56</c:v>
                </c:pt>
                <c:pt idx="4">
                  <c:v>56-70</c:v>
                </c:pt>
                <c:pt idx="5">
                  <c:v>70-84</c:v>
                </c:pt>
                <c:pt idx="6">
                  <c:v>84-98</c:v>
                </c:pt>
                <c:pt idx="7">
                  <c:v>98-112</c:v>
                </c:pt>
                <c:pt idx="8">
                  <c:v>112-126</c:v>
                </c:pt>
              </c:strCache>
            </c:strRef>
          </c:cat>
          <c:val>
            <c:numRef>
              <c:f>Bills!$H$8:$H$16</c:f>
              <c:numCache>
                <c:formatCode>General</c:formatCode>
                <c:ptCount val="9"/>
                <c:pt idx="0">
                  <c:v>69</c:v>
                </c:pt>
                <c:pt idx="1">
                  <c:v>34</c:v>
                </c:pt>
                <c:pt idx="2">
                  <c:v>14</c:v>
                </c:pt>
                <c:pt idx="3">
                  <c:v>9</c:v>
                </c:pt>
                <c:pt idx="4">
                  <c:v>6</c:v>
                </c:pt>
                <c:pt idx="5">
                  <c:v>14</c:v>
                </c:pt>
                <c:pt idx="6">
                  <c:v>26</c:v>
                </c:pt>
                <c:pt idx="7">
                  <c:v>16</c:v>
                </c:pt>
                <c:pt idx="8">
                  <c:v>7</c:v>
                </c:pt>
              </c:numCache>
            </c:numRef>
          </c:val>
          <c:extLst>
            <c:ext xmlns:c16="http://schemas.microsoft.com/office/drawing/2014/chart" uri="{C3380CC4-5D6E-409C-BE32-E72D297353CC}">
              <c16:uniqueId val="{00000000-3051-4E0C-B804-FDE763DDC931}"/>
            </c:ext>
          </c:extLst>
        </c:ser>
        <c:dLbls>
          <c:dLblPos val="outEnd"/>
          <c:showLegendKey val="0"/>
          <c:showVal val="1"/>
          <c:showCatName val="0"/>
          <c:showSerName val="0"/>
          <c:showPercent val="0"/>
          <c:showBubbleSize val="0"/>
        </c:dLbls>
        <c:gapWidth val="0"/>
        <c:overlap val="-27"/>
        <c:axId val="1525047071"/>
        <c:axId val="1525046111"/>
      </c:barChart>
      <c:catAx>
        <c:axId val="152504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46111"/>
        <c:crosses val="autoZero"/>
        <c:auto val="1"/>
        <c:lblAlgn val="ctr"/>
        <c:lblOffset val="100"/>
        <c:noMultiLvlLbl val="0"/>
      </c:catAx>
      <c:valAx>
        <c:axId val="152504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4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gradFill>
                <a:gsLst>
                  <a:gs pos="0">
                    <a:schemeClr val="accent2">
                      <a:lumMod val="60000"/>
                      <a:lumOff val="40000"/>
                    </a:schemeClr>
                  </a:gs>
                  <a:gs pos="74000">
                    <a:schemeClr val="accent4">
                      <a:lumMod val="60000"/>
                      <a:lumOff val="40000"/>
                    </a:schemeClr>
                  </a:gs>
                  <a:gs pos="83000">
                    <a:schemeClr val="accent6">
                      <a:lumMod val="60000"/>
                      <a:lumOff val="40000"/>
                    </a:schemeClr>
                  </a:gs>
                  <a:gs pos="100000">
                    <a:schemeClr val="accent5">
                      <a:lumMod val="60000"/>
                      <a:lumOff val="40000"/>
                    </a:schemeClr>
                  </a:gs>
                </a:gsLst>
                <a:lin ang="5400000" scaled="1"/>
              </a:gradFill>
              <a:round/>
            </a:ln>
            <a:effectLst/>
          </c:spPr>
          <c:marker>
            <c:symbol val="circle"/>
            <c:size val="5"/>
            <c:spPr>
              <a:solidFill>
                <a:schemeClr val="accent1"/>
              </a:solidFill>
              <a:ln w="0">
                <a:solidFill>
                  <a:schemeClr val="tx1"/>
                </a:solidFill>
              </a:ln>
              <a:effectLst/>
            </c:spPr>
          </c:marker>
          <c:xVal>
            <c:numRef>
              <c:f>Bills!$G$8:$G$16</c:f>
              <c:numCache>
                <c:formatCode>General</c:formatCode>
                <c:ptCount val="9"/>
                <c:pt idx="0">
                  <c:v>7</c:v>
                </c:pt>
                <c:pt idx="1">
                  <c:v>21</c:v>
                </c:pt>
                <c:pt idx="2">
                  <c:v>35</c:v>
                </c:pt>
                <c:pt idx="3">
                  <c:v>49</c:v>
                </c:pt>
                <c:pt idx="4">
                  <c:v>63</c:v>
                </c:pt>
                <c:pt idx="5">
                  <c:v>77</c:v>
                </c:pt>
                <c:pt idx="6">
                  <c:v>91</c:v>
                </c:pt>
                <c:pt idx="7">
                  <c:v>105</c:v>
                </c:pt>
                <c:pt idx="8">
                  <c:v>119</c:v>
                </c:pt>
              </c:numCache>
            </c:numRef>
          </c:xVal>
          <c:yVal>
            <c:numRef>
              <c:f>Bills!$H$8:$H$16</c:f>
              <c:numCache>
                <c:formatCode>General</c:formatCode>
                <c:ptCount val="9"/>
                <c:pt idx="0">
                  <c:v>69</c:v>
                </c:pt>
                <c:pt idx="1">
                  <c:v>34</c:v>
                </c:pt>
                <c:pt idx="2">
                  <c:v>14</c:v>
                </c:pt>
                <c:pt idx="3">
                  <c:v>9</c:v>
                </c:pt>
                <c:pt idx="4">
                  <c:v>6</c:v>
                </c:pt>
                <c:pt idx="5">
                  <c:v>14</c:v>
                </c:pt>
                <c:pt idx="6">
                  <c:v>26</c:v>
                </c:pt>
                <c:pt idx="7">
                  <c:v>16</c:v>
                </c:pt>
                <c:pt idx="8">
                  <c:v>7</c:v>
                </c:pt>
              </c:numCache>
            </c:numRef>
          </c:yVal>
          <c:smooth val="0"/>
          <c:extLst>
            <c:ext xmlns:c16="http://schemas.microsoft.com/office/drawing/2014/chart" uri="{C3380CC4-5D6E-409C-BE32-E72D297353CC}">
              <c16:uniqueId val="{00000000-A6E1-4CFE-A152-801C282FCF0B}"/>
            </c:ext>
          </c:extLst>
        </c:ser>
        <c:dLbls>
          <c:showLegendKey val="0"/>
          <c:showVal val="0"/>
          <c:showCatName val="0"/>
          <c:showSerName val="0"/>
          <c:showPercent val="0"/>
          <c:showBubbleSize val="0"/>
        </c:dLbls>
        <c:axId val="1427188223"/>
        <c:axId val="1427188703"/>
      </c:scatterChart>
      <c:valAx>
        <c:axId val="142718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8703"/>
        <c:crosses val="autoZero"/>
        <c:crossBetween val="midCat"/>
      </c:valAx>
      <c:valAx>
        <c:axId val="142718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8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6350</xdr:colOff>
      <xdr:row>1</xdr:row>
      <xdr:rowOff>6350</xdr:rowOff>
    </xdr:from>
    <xdr:to>
      <xdr:col>13</xdr:col>
      <xdr:colOff>0</xdr:colOff>
      <xdr:row>13</xdr:row>
      <xdr:rowOff>6350</xdr:rowOff>
    </xdr:to>
    <xdr:graphicFrame macro="">
      <xdr:nvGraphicFramePr>
        <xdr:cNvPr id="2" name="Chart 1">
          <a:extLst>
            <a:ext uri="{FF2B5EF4-FFF2-40B4-BE49-F238E27FC236}">
              <a16:creationId xmlns:a16="http://schemas.microsoft.com/office/drawing/2014/main" id="{6A072FC6-2F19-B8B9-E696-70F9402D4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595313</xdr:colOff>
      <xdr:row>0</xdr:row>
      <xdr:rowOff>188119</xdr:rowOff>
    </xdr:from>
    <xdr:to>
      <xdr:col>20</xdr:col>
      <xdr:colOff>579437</xdr:colOff>
      <xdr:row>13</xdr:row>
      <xdr:rowOff>7938</xdr:rowOff>
    </xdr:to>
    <xdr:graphicFrame macro="">
      <xdr:nvGraphicFramePr>
        <xdr:cNvPr id="4" name="Chart 3">
          <a:extLst>
            <a:ext uri="{FF2B5EF4-FFF2-40B4-BE49-F238E27FC236}">
              <a16:creationId xmlns:a16="http://schemas.microsoft.com/office/drawing/2014/main" id="{E1F90CB6-1B8F-C353-A679-FBA6B173D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6803</xdr:colOff>
      <xdr:row>1</xdr:row>
      <xdr:rowOff>183015</xdr:rowOff>
    </xdr:from>
    <xdr:to>
      <xdr:col>14</xdr:col>
      <xdr:colOff>605517</xdr:colOff>
      <xdr:row>16</xdr:row>
      <xdr:rowOff>0</xdr:rowOff>
    </xdr:to>
    <xdr:graphicFrame macro="">
      <xdr:nvGraphicFramePr>
        <xdr:cNvPr id="2" name="Chart 1">
          <a:extLst>
            <a:ext uri="{FF2B5EF4-FFF2-40B4-BE49-F238E27FC236}">
              <a16:creationId xmlns:a16="http://schemas.microsoft.com/office/drawing/2014/main" id="{B978A6DC-70C9-0DFE-017A-81D23E247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612320</xdr:colOff>
      <xdr:row>16</xdr:row>
      <xdr:rowOff>189819</xdr:rowOff>
    </xdr:from>
    <xdr:to>
      <xdr:col>8</xdr:col>
      <xdr:colOff>605518</xdr:colOff>
      <xdr:row>31</xdr:row>
      <xdr:rowOff>0</xdr:rowOff>
    </xdr:to>
    <xdr:graphicFrame macro="">
      <xdr:nvGraphicFramePr>
        <xdr:cNvPr id="3" name="Chart 2">
          <a:extLst>
            <a:ext uri="{FF2B5EF4-FFF2-40B4-BE49-F238E27FC236}">
              <a16:creationId xmlns:a16="http://schemas.microsoft.com/office/drawing/2014/main" id="{BDA0EFD7-D841-8B1B-25DF-C697E25A0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278130</xdr:colOff>
      <xdr:row>18</xdr:row>
      <xdr:rowOff>99786</xdr:rowOff>
    </xdr:from>
    <xdr:to>
      <xdr:col>19</xdr:col>
      <xdr:colOff>323849</xdr:colOff>
      <xdr:row>27</xdr:row>
      <xdr:rowOff>177799</xdr:rowOff>
    </xdr:to>
    <xdr:sp macro="" textlink="">
      <xdr:nvSpPr>
        <xdr:cNvPr id="2" name="TextBox 1">
          <a:extLst>
            <a:ext uri="{FF2B5EF4-FFF2-40B4-BE49-F238E27FC236}">
              <a16:creationId xmlns:a16="http://schemas.microsoft.com/office/drawing/2014/main" id="{FEE38DB2-DD44-1532-BF8C-8D5DEF694BE3}"/>
            </a:ext>
          </a:extLst>
        </xdr:cNvPr>
        <xdr:cNvSpPr txBox="1"/>
      </xdr:nvSpPr>
      <xdr:spPr>
        <a:xfrm>
          <a:off x="14733451" y="3447143"/>
          <a:ext cx="45719" cy="1751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ngineers, and Cybersecurity Specialists</a:t>
          </a:r>
          <a:r>
            <a:rPr lang="en-IN" sz="1100">
              <a:solidFill>
                <a:schemeClr val="dk1"/>
              </a:solidFill>
              <a:effectLst/>
              <a:latin typeface="+mn-lt"/>
              <a:ea typeface="+mn-ea"/>
              <a:cs typeface="+mn-cs"/>
            </a:rPr>
            <a:t> is surging, often commanding higher salaries than traditional roles. For instance, Business Standard (2025) noted that demand for AI and data roles grew by </a:t>
          </a:r>
          <a:r>
            <a:rPr lang="en-IN" sz="1100" b="1">
              <a:solidFill>
                <a:schemeClr val="dk1"/>
              </a:solidFill>
              <a:effectLst/>
              <a:latin typeface="+mn-lt"/>
              <a:ea typeface="+mn-ea"/>
              <a:cs typeface="+mn-cs"/>
            </a:rPr>
            <a:t>75%</a:t>
          </a:r>
          <a:r>
            <a:rPr lang="en-IN" sz="1100">
              <a:solidFill>
                <a:schemeClr val="dk1"/>
              </a:solidFill>
              <a:effectLst/>
              <a:latin typeface="+mn-lt"/>
              <a:ea typeface="+mn-ea"/>
              <a:cs typeface="+mn-cs"/>
            </a:rPr>
            <a:t>, with average salaries significantly higher than QA or support functions.</a:t>
          </a:r>
          <a:endParaRPr lang="en-IN">
            <a:effectLst/>
          </a:endParaRPr>
        </a:p>
        <a:p>
          <a:r>
            <a:rPr lang="en-IN" sz="1100" b="1">
              <a:solidFill>
                <a:schemeClr val="dk1"/>
              </a:solidFill>
              <a:effectLst/>
              <a:latin typeface="+mn-lt"/>
              <a:ea typeface="+mn-ea"/>
              <a:cs typeface="+mn-cs"/>
            </a:rPr>
            <a:t>Education–Role Alignment</a:t>
          </a:r>
          <a:r>
            <a:rPr lang="en-IN" sz="1100">
              <a:solidFill>
                <a:schemeClr val="dk1"/>
              </a:solidFill>
              <a:effectLst/>
              <a:latin typeface="+mn-lt"/>
              <a:ea typeface="+mn-ea"/>
              <a:cs typeface="+mn-cs"/>
            </a:rPr>
            <a:t> – The industry strongly values </a:t>
          </a:r>
          <a:r>
            <a:rPr lang="en-IN" sz="1100" b="1">
              <a:solidFill>
                <a:schemeClr val="dk1"/>
              </a:solidFill>
              <a:effectLst/>
              <a:latin typeface="+mn-lt"/>
              <a:ea typeface="+mn-ea"/>
              <a:cs typeface="+mn-cs"/>
            </a:rPr>
            <a:t>Masters/PhD degrees in data-driven fields</a:t>
          </a:r>
          <a:r>
            <a:rPr lang="en-IN" sz="1100">
              <a:solidFill>
                <a:schemeClr val="dk1"/>
              </a:solidFill>
              <a:effectLst/>
              <a:latin typeface="+mn-lt"/>
              <a:ea typeface="+mn-ea"/>
              <a:cs typeface="+mn-cs"/>
            </a:rPr>
            <a:t>, while roles like QA Engineers or UI/UX Designers often draw from Diploma or Bachelor-level talent pools.</a:t>
          </a:r>
          <a:endParaRPr lang="en-IN">
            <a:effectLst/>
          </a:endParaRPr>
        </a:p>
        <a:p>
          <a:r>
            <a:rPr lang="en-IN" sz="1100" b="1">
              <a:solidFill>
                <a:schemeClr val="dk1"/>
              </a:solidFill>
              <a:effectLst/>
              <a:latin typeface="+mn-lt"/>
              <a:ea typeface="+mn-ea"/>
              <a:cs typeface="+mn-cs"/>
            </a:rPr>
            <a:t>Flexible &amp; Remote Work Models</a:t>
          </a:r>
          <a:r>
            <a:rPr lang="en-IN" sz="1100">
              <a:solidFill>
                <a:schemeClr val="dk1"/>
              </a:solidFill>
              <a:effectLst/>
              <a:latin typeface="+mn-lt"/>
              <a:ea typeface="+mn-ea"/>
              <a:cs typeface="+mn-cs"/>
            </a:rPr>
            <a:t> – According to a 2025 IBEF report, </a:t>
          </a:r>
          <a:r>
            <a:rPr lang="en-IN" sz="1100" b="1">
              <a:solidFill>
                <a:schemeClr val="dk1"/>
              </a:solidFill>
              <a:effectLst/>
              <a:latin typeface="+mn-lt"/>
              <a:ea typeface="+mn-ea"/>
              <a:cs typeface="+mn-cs"/>
            </a:rPr>
            <a:t>55–60% of software engineers and data professionals</a:t>
          </a:r>
          <a:r>
            <a:rPr lang="en-IN" sz="1100">
              <a:solidFill>
                <a:schemeClr val="dk1"/>
              </a:solidFill>
              <a:effectLst/>
              <a:latin typeface="+mn-lt"/>
              <a:ea typeface="+mn-ea"/>
              <a:cs typeface="+mn-cs"/>
            </a:rPr>
            <a:t> prefer hybrid/remote setups, while Project Managers still lean toward in-office coordination.</a:t>
          </a:r>
          <a:endParaRPr lang="en-IN">
            <a:effectLst/>
          </a:endParaRPr>
        </a:p>
        <a:p>
          <a:r>
            <a:rPr lang="en-IN" sz="1100" b="1">
              <a:solidFill>
                <a:schemeClr val="dk1"/>
              </a:solidFill>
              <a:effectLst/>
              <a:latin typeface="+mn-lt"/>
              <a:ea typeface="+mn-ea"/>
              <a:cs typeface="+mn-cs"/>
            </a:rPr>
            <a:t>Satisfaction &amp; Workload Patterns</a:t>
          </a:r>
          <a:r>
            <a:rPr lang="en-IN" sz="1100">
              <a:solidFill>
                <a:schemeClr val="dk1"/>
              </a:solidFill>
              <a:effectLst/>
              <a:latin typeface="+mn-lt"/>
              <a:ea typeface="+mn-ea"/>
              <a:cs typeface="+mn-cs"/>
            </a:rPr>
            <a:t> – Job satisfaction levels are not uniform: creative roles (UI/UX) and cutting-edge roles (Data Science) report higher satisfaction, while routine-heavy QA often shows lower scores. Average working hours cluster around </a:t>
          </a:r>
          <a:r>
            <a:rPr lang="en-IN" sz="1100" b="1">
              <a:solidFill>
                <a:schemeClr val="dk1"/>
              </a:solidFill>
              <a:effectLst/>
              <a:latin typeface="+mn-lt"/>
              <a:ea typeface="+mn-ea"/>
              <a:cs typeface="+mn-cs"/>
            </a:rPr>
            <a:t>40–48 per week</a:t>
          </a:r>
          <a:r>
            <a:rPr lang="en-IN" sz="1100">
              <a:solidFill>
                <a:schemeClr val="dk1"/>
              </a:solidFill>
              <a:effectLst/>
              <a:latin typeface="+mn-lt"/>
              <a:ea typeface="+mn-ea"/>
              <a:cs typeface="+mn-cs"/>
            </a:rPr>
            <a:t>, peaking for Project Managers.</a:t>
          </a:r>
          <a:endParaRPr lang="en-IN">
            <a:effectLst/>
          </a:endParaRPr>
        </a:p>
        <a:p>
          <a:endParaRPr lang="en-IN" sz="1100"/>
        </a:p>
      </xdr:txBody>
    </xdr:sp>
    <xdr:clientData/>
  </xdr:twoCellAnchor>
  <xdr:twoCellAnchor>
    <xdr:from>
      <xdr:col>9</xdr:col>
      <xdr:colOff>10206</xdr:colOff>
      <xdr:row>10</xdr:row>
      <xdr:rowOff>176212</xdr:rowOff>
    </xdr:from>
    <xdr:to>
      <xdr:col>14</xdr:col>
      <xdr:colOff>105456</xdr:colOff>
      <xdr:row>25</xdr:row>
      <xdr:rowOff>61912</xdr:rowOff>
    </xdr:to>
    <xdr:graphicFrame macro="">
      <xdr:nvGraphicFramePr>
        <xdr:cNvPr id="4" name="Chart 3">
          <a:extLst>
            <a:ext uri="{FF2B5EF4-FFF2-40B4-BE49-F238E27FC236}">
              <a16:creationId xmlns:a16="http://schemas.microsoft.com/office/drawing/2014/main" id="{5B569B48-7325-FB9E-BC5C-5D2BF2006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10206</xdr:colOff>
      <xdr:row>25</xdr:row>
      <xdr:rowOff>189821</xdr:rowOff>
    </xdr:from>
    <xdr:to>
      <xdr:col>14</xdr:col>
      <xdr:colOff>105456</xdr:colOff>
      <xdr:row>40</xdr:row>
      <xdr:rowOff>75521</xdr:rowOff>
    </xdr:to>
    <xdr:graphicFrame macro="">
      <xdr:nvGraphicFramePr>
        <xdr:cNvPr id="5" name="Chart 4">
          <a:extLst>
            <a:ext uri="{FF2B5EF4-FFF2-40B4-BE49-F238E27FC236}">
              <a16:creationId xmlns:a16="http://schemas.microsoft.com/office/drawing/2014/main" id="{5D2EE59E-B168-BD07-071D-C351041AB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215900</xdr:colOff>
      <xdr:row>2</xdr:row>
      <xdr:rowOff>152400</xdr:rowOff>
    </xdr:from>
    <xdr:to>
      <xdr:col>18</xdr:col>
      <xdr:colOff>508000</xdr:colOff>
      <xdr:row>15</xdr:row>
      <xdr:rowOff>101600</xdr:rowOff>
    </xdr:to>
    <xdr:sp macro="" textlink="">
      <xdr:nvSpPr>
        <xdr:cNvPr id="2" name="TextBox 1">
          <a:extLst>
            <a:ext uri="{FF2B5EF4-FFF2-40B4-BE49-F238E27FC236}">
              <a16:creationId xmlns:a16="http://schemas.microsoft.com/office/drawing/2014/main" id="{2EECE9B1-5267-382C-1F26-56FA7976982E}"/>
            </a:ext>
          </a:extLst>
        </xdr:cNvPr>
        <xdr:cNvSpPr txBox="1"/>
      </xdr:nvSpPr>
      <xdr:spPr>
        <a:xfrm>
          <a:off x="6921500" y="520700"/>
          <a:ext cx="4559300" cy="234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dk1"/>
              </a:solidFill>
              <a:effectLst/>
              <a:latin typeface="+mn-lt"/>
              <a:ea typeface="+mn-ea"/>
              <a:cs typeface="+mn-cs"/>
            </a:rPr>
            <a:t>Patients at North Shore Family Practice are required to fill out a questionnaire that gives the doctor an overall idea of each patient's health. The first question is:</a:t>
          </a:r>
        </a:p>
        <a:p>
          <a:r>
            <a:rPr lang="en-IN" sz="1400">
              <a:solidFill>
                <a:schemeClr val="dk1"/>
              </a:solidFill>
              <a:effectLst/>
              <a:latin typeface="+mn-lt"/>
              <a:ea typeface="+mn-ea"/>
              <a:cs typeface="+mn-cs"/>
            </a:rPr>
            <a:t>"In general, what is the quality of your health?" The patient chooses Excellent, Good, Fair, or Poor. A portion of the 150 responses is as follows:</a:t>
          </a:r>
          <a:endParaRPr lang="en-IN" sz="1400">
            <a:effectLst/>
          </a:endParaRPr>
        </a:p>
        <a:p>
          <a:r>
            <a:rPr lang="en-IN" sz="1400">
              <a:solidFill>
                <a:schemeClr val="dk1"/>
              </a:solidFill>
              <a:effectLst/>
              <a:latin typeface="+mn-lt"/>
              <a:ea typeface="+mn-ea"/>
              <a:cs typeface="+mn-cs"/>
            </a:rPr>
            <a:t>a. Construct the frequency distribution that summarizes the results from the questionnaire. What is the most common response to the questionnaire?</a:t>
          </a:r>
          <a:endParaRPr lang="en-IN" sz="1400">
            <a:effectLst/>
          </a:endParaRPr>
        </a:p>
        <a:p>
          <a:r>
            <a:rPr lang="en-IN" sz="1400">
              <a:solidFill>
                <a:schemeClr val="dk1"/>
              </a:solidFill>
              <a:effectLst/>
              <a:latin typeface="+mn-lt"/>
              <a:ea typeface="+mn-ea"/>
              <a:cs typeface="+mn-cs"/>
            </a:rPr>
            <a:t>b. Construct a bar chart. How would you characterize the health of patients at this medical practice? Explain.</a:t>
          </a:r>
          <a:endParaRPr lang="en-IN" sz="1400">
            <a:effectLst/>
          </a:endParaRPr>
        </a:p>
        <a:p>
          <a:endParaRPr lang="en-IN" sz="1100"/>
        </a:p>
      </xdr:txBody>
    </xdr:sp>
    <xdr:clientData/>
  </xdr:twoCellAnchor>
  <xdr:twoCellAnchor>
    <xdr:from>
      <xdr:col>3</xdr:col>
      <xdr:colOff>6350</xdr:colOff>
      <xdr:row>7</xdr:row>
      <xdr:rowOff>0</xdr:rowOff>
    </xdr:from>
    <xdr:to>
      <xdr:col>9</xdr:col>
      <xdr:colOff>260350</xdr:colOff>
      <xdr:row>21</xdr:row>
      <xdr:rowOff>76200</xdr:rowOff>
    </xdr:to>
    <xdr:graphicFrame macro="">
      <xdr:nvGraphicFramePr>
        <xdr:cNvPr id="3" name="Chart 2">
          <a:extLst>
            <a:ext uri="{FF2B5EF4-FFF2-40B4-BE49-F238E27FC236}">
              <a16:creationId xmlns:a16="http://schemas.microsoft.com/office/drawing/2014/main" id="{4E00CF01-6ECC-AD2A-38AB-B6C6225F7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425450</xdr:colOff>
      <xdr:row>6</xdr:row>
      <xdr:rowOff>95250</xdr:rowOff>
    </xdr:from>
    <xdr:to>
      <xdr:col>21</xdr:col>
      <xdr:colOff>527050</xdr:colOff>
      <xdr:row>23</xdr:row>
      <xdr:rowOff>63500</xdr:rowOff>
    </xdr:to>
    <xdr:sp macro="" textlink="">
      <xdr:nvSpPr>
        <xdr:cNvPr id="2" name="TextBox 1">
          <a:extLst>
            <a:ext uri="{FF2B5EF4-FFF2-40B4-BE49-F238E27FC236}">
              <a16:creationId xmlns:a16="http://schemas.microsoft.com/office/drawing/2014/main" id="{AE13CD48-70DE-1D61-3308-47B854015D47}"/>
            </a:ext>
          </a:extLst>
        </xdr:cNvPr>
        <xdr:cNvSpPr txBox="1"/>
      </xdr:nvSpPr>
      <xdr:spPr>
        <a:xfrm>
          <a:off x="10414000" y="1200150"/>
          <a:ext cx="4368800" cy="309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dk1"/>
              </a:solidFill>
              <a:effectLst/>
              <a:latin typeface="+mn-lt"/>
              <a:ea typeface="+mn-ea"/>
              <a:cs typeface="+mn-cs"/>
            </a:rPr>
            <a:t>A few years ago, a study found that 35% of millennials (Americans born between 1981 and 1996) identified themselves as not religious. A researcher wonders if this finding is consistent today. She surveys 600 millennials and asks them to rate their faith. Possible responses were Very Religious, Somewhat Religious, Slightly Religious, and Not Religious. A portion of the 600 responses is as follows:</a:t>
          </a:r>
          <a:endParaRPr lang="en-IN" sz="2000">
            <a:effectLst/>
          </a:endParaRPr>
        </a:p>
        <a:p>
          <a:r>
            <a:rPr lang="en-IN" sz="2000">
              <a:solidFill>
                <a:schemeClr val="dk1"/>
              </a:solidFill>
              <a:effectLst/>
              <a:latin typeface="+mn-lt"/>
              <a:ea typeface="+mn-ea"/>
              <a:cs typeface="+mn-cs"/>
            </a:rPr>
            <a:t>a. Construct the frequency distribution that summarizes the results from the survey. What is the most common response to the survey?b. Construct a pie chart. Do the researcher's results appear consistent with those found by the earlier study? Explain.</a:t>
          </a:r>
          <a:endParaRPr lang="en-IN" sz="2000">
            <a:effectLst/>
          </a:endParaRPr>
        </a:p>
        <a:p>
          <a:endParaRPr lang="en-IN" sz="1100"/>
        </a:p>
      </xdr:txBody>
    </xdr:sp>
    <xdr:clientData/>
  </xdr:twoCellAnchor>
  <xdr:twoCellAnchor>
    <xdr:from>
      <xdr:col>2</xdr:col>
      <xdr:colOff>600075</xdr:colOff>
      <xdr:row>6</xdr:row>
      <xdr:rowOff>185737</xdr:rowOff>
    </xdr:from>
    <xdr:to>
      <xdr:col>8</xdr:col>
      <xdr:colOff>180975</xdr:colOff>
      <xdr:row>21</xdr:row>
      <xdr:rowOff>71437</xdr:rowOff>
    </xdr:to>
    <xdr:graphicFrame macro="">
      <xdr:nvGraphicFramePr>
        <xdr:cNvPr id="3" name="Chart 2">
          <a:extLst>
            <a:ext uri="{FF2B5EF4-FFF2-40B4-BE49-F238E27FC236}">
              <a16:creationId xmlns:a16="http://schemas.microsoft.com/office/drawing/2014/main" id="{FACE97ED-4FF4-EDD3-5CB1-4802CDE33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21</xdr:row>
      <xdr:rowOff>185737</xdr:rowOff>
    </xdr:from>
    <xdr:to>
      <xdr:col>8</xdr:col>
      <xdr:colOff>180975</xdr:colOff>
      <xdr:row>36</xdr:row>
      <xdr:rowOff>71437</xdr:rowOff>
    </xdr:to>
    <xdr:graphicFrame macro="">
      <xdr:nvGraphicFramePr>
        <xdr:cNvPr id="4" name="Chart 3">
          <a:extLst>
            <a:ext uri="{FF2B5EF4-FFF2-40B4-BE49-F238E27FC236}">
              <a16:creationId xmlns:a16="http://schemas.microsoft.com/office/drawing/2014/main" id="{F117EDC8-065F-B48E-E16E-1844056E2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445548</xdr:colOff>
      <xdr:row>22</xdr:row>
      <xdr:rowOff>167355</xdr:rowOff>
    </xdr:from>
    <xdr:to>
      <xdr:col>9</xdr:col>
      <xdr:colOff>971391</xdr:colOff>
      <xdr:row>37</xdr:row>
      <xdr:rowOff>76671</xdr:rowOff>
    </xdr:to>
    <xdr:graphicFrame macro="">
      <xdr:nvGraphicFramePr>
        <xdr:cNvPr id="2" name="Chart 1">
          <a:extLst>
            <a:ext uri="{FF2B5EF4-FFF2-40B4-BE49-F238E27FC236}">
              <a16:creationId xmlns:a16="http://schemas.microsoft.com/office/drawing/2014/main" id="{BBADDC0B-6A30-970C-76A3-BB1ECC01F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473101</xdr:colOff>
      <xdr:row>38</xdr:row>
      <xdr:rowOff>151612</xdr:rowOff>
    </xdr:from>
    <xdr:to>
      <xdr:col>9</xdr:col>
      <xdr:colOff>998944</xdr:colOff>
      <xdr:row>53</xdr:row>
      <xdr:rowOff>60928</xdr:rowOff>
    </xdr:to>
    <xdr:graphicFrame macro="">
      <xdr:nvGraphicFramePr>
        <xdr:cNvPr id="3" name="Chart 2">
          <a:extLst>
            <a:ext uri="{FF2B5EF4-FFF2-40B4-BE49-F238E27FC236}">
              <a16:creationId xmlns:a16="http://schemas.microsoft.com/office/drawing/2014/main" id="{B9757801-5BA4-5423-1811-DD7CD2C4F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776287</xdr:colOff>
      <xdr:row>17</xdr:row>
      <xdr:rowOff>166687</xdr:rowOff>
    </xdr:from>
    <xdr:to>
      <xdr:col>9</xdr:col>
      <xdr:colOff>404812</xdr:colOff>
      <xdr:row>32</xdr:row>
      <xdr:rowOff>52387</xdr:rowOff>
    </xdr:to>
    <xdr:graphicFrame macro="">
      <xdr:nvGraphicFramePr>
        <xdr:cNvPr id="2" name="Chart 1">
          <a:extLst>
            <a:ext uri="{FF2B5EF4-FFF2-40B4-BE49-F238E27FC236}">
              <a16:creationId xmlns:a16="http://schemas.microsoft.com/office/drawing/2014/main" id="{0FB181E3-A59B-ADA7-619F-52006751D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785812</xdr:colOff>
      <xdr:row>17</xdr:row>
      <xdr:rowOff>176212</xdr:rowOff>
    </xdr:from>
    <xdr:to>
      <xdr:col>13</xdr:col>
      <xdr:colOff>138112</xdr:colOff>
      <xdr:row>32</xdr:row>
      <xdr:rowOff>61912</xdr:rowOff>
    </xdr:to>
    <xdr:graphicFrame macro="">
      <xdr:nvGraphicFramePr>
        <xdr:cNvPr id="3" name="Chart 2">
          <a:extLst>
            <a:ext uri="{FF2B5EF4-FFF2-40B4-BE49-F238E27FC236}">
              <a16:creationId xmlns:a16="http://schemas.microsoft.com/office/drawing/2014/main" id="{72E222BC-8685-EAC7-BCDD-F253A0F41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1E2C00-DB3D-4BB6-8F7F-F1977AC8AF4E}">
  <we:reference id="cba9fc06-6fc9-492e-9525-923870a3b909" version="2.0.0.0" store="EXCatalog" storeType="EXCatalog"/>
  <we:alternateReferences>
    <we:reference id="WA200010215" version="2.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37"/>
  <sheetViews>
    <sheetView topLeftCell="E1" zoomScale="150" zoomScaleNormal="150" workbookViewId="0">
      <selection activeCell="O15" sqref="O15"/>
    </sheetView>
  </sheetViews>
  <sheetFormatPr defaultRowHeight="15" x14ac:dyDescent="0.25"/>
  <cols>
    <col min="4" max="4" width="21.5703125" bestFit="1" customWidth="1"/>
    <col min="5" max="5" width="10.42578125" customWidth="1"/>
    <col min="6" max="6" width="16.5703125" bestFit="1" customWidth="1"/>
  </cols>
  <sheetData>
    <row r="1" spans="1:6" x14ac:dyDescent="0.25">
      <c r="A1" t="s">
        <v>0</v>
      </c>
    </row>
    <row r="2" spans="1:6" x14ac:dyDescent="0.25">
      <c r="A2">
        <v>1</v>
      </c>
      <c r="E2" t="s">
        <v>52</v>
      </c>
      <c r="F2" t="s">
        <v>53</v>
      </c>
    </row>
    <row r="3" spans="1:6" x14ac:dyDescent="0.25">
      <c r="A3">
        <v>1</v>
      </c>
      <c r="C3">
        <v>1</v>
      </c>
      <c r="D3" t="s">
        <v>1</v>
      </c>
      <c r="E3">
        <f>COUNTIF($A$2:$A$2537,C3)</f>
        <v>1230</v>
      </c>
      <c r="F3" s="4">
        <f>(E3/$E$11)*100</f>
        <v>48.501577287066247</v>
      </c>
    </row>
    <row r="4" spans="1:6" x14ac:dyDescent="0.25">
      <c r="A4">
        <v>4</v>
      </c>
      <c r="C4">
        <v>2</v>
      </c>
      <c r="D4" t="s">
        <v>2</v>
      </c>
      <c r="E4">
        <f t="shared" ref="E4:E10" si="0">COUNTIF($A$2:$A$2537,C4)</f>
        <v>273</v>
      </c>
      <c r="F4" s="4">
        <f t="shared" ref="F4:F10" si="1">(E4/$E$11)*100</f>
        <v>10.764984227129338</v>
      </c>
    </row>
    <row r="5" spans="1:6" x14ac:dyDescent="0.25">
      <c r="A5">
        <v>2</v>
      </c>
      <c r="C5">
        <v>3</v>
      </c>
      <c r="D5" t="s">
        <v>3</v>
      </c>
      <c r="E5">
        <f t="shared" si="0"/>
        <v>40</v>
      </c>
      <c r="F5" s="4">
        <f t="shared" si="1"/>
        <v>1.5772870662460567</v>
      </c>
    </row>
    <row r="6" spans="1:6" x14ac:dyDescent="0.25">
      <c r="A6">
        <v>5</v>
      </c>
      <c r="C6">
        <v>4</v>
      </c>
      <c r="D6" t="s">
        <v>4</v>
      </c>
      <c r="E6">
        <f t="shared" si="0"/>
        <v>104</v>
      </c>
      <c r="F6" s="4">
        <f t="shared" si="1"/>
        <v>4.1009463722397479</v>
      </c>
    </row>
    <row r="7" spans="1:6" x14ac:dyDescent="0.25">
      <c r="A7">
        <v>1</v>
      </c>
      <c r="C7">
        <v>5</v>
      </c>
      <c r="D7" t="s">
        <v>5</v>
      </c>
      <c r="E7">
        <f t="shared" si="0"/>
        <v>460</v>
      </c>
      <c r="F7" s="4">
        <f t="shared" si="1"/>
        <v>18.138801261829656</v>
      </c>
    </row>
    <row r="8" spans="1:6" x14ac:dyDescent="0.25">
      <c r="A8">
        <v>1</v>
      </c>
      <c r="C8">
        <v>6</v>
      </c>
      <c r="D8" t="s">
        <v>6</v>
      </c>
      <c r="E8">
        <f t="shared" si="0"/>
        <v>90</v>
      </c>
      <c r="F8" s="4">
        <f t="shared" si="1"/>
        <v>3.5488958990536279</v>
      </c>
    </row>
    <row r="9" spans="1:6" x14ac:dyDescent="0.25">
      <c r="A9">
        <v>8</v>
      </c>
      <c r="C9">
        <v>7</v>
      </c>
      <c r="D9" t="s">
        <v>7</v>
      </c>
      <c r="E9">
        <f t="shared" si="0"/>
        <v>263</v>
      </c>
      <c r="F9" s="4">
        <f t="shared" si="1"/>
        <v>10.370662460567823</v>
      </c>
    </row>
    <row r="10" spans="1:6" x14ac:dyDescent="0.25">
      <c r="A10">
        <v>1</v>
      </c>
      <c r="C10">
        <v>8</v>
      </c>
      <c r="D10" t="s">
        <v>8</v>
      </c>
      <c r="E10">
        <f t="shared" si="0"/>
        <v>76</v>
      </c>
      <c r="F10" s="4">
        <f t="shared" si="1"/>
        <v>2.9968454258675079</v>
      </c>
    </row>
    <row r="11" spans="1:6" x14ac:dyDescent="0.25">
      <c r="A11">
        <v>7</v>
      </c>
      <c r="E11">
        <f>SUM(E3:E10)</f>
        <v>2536</v>
      </c>
    </row>
    <row r="12" spans="1:6" x14ac:dyDescent="0.25">
      <c r="A12">
        <v>8</v>
      </c>
    </row>
    <row r="13" spans="1:6" x14ac:dyDescent="0.25">
      <c r="A13">
        <v>5</v>
      </c>
    </row>
    <row r="14" spans="1:6" x14ac:dyDescent="0.25">
      <c r="A14">
        <v>1</v>
      </c>
    </row>
    <row r="15" spans="1:6" x14ac:dyDescent="0.25">
      <c r="A15">
        <v>6</v>
      </c>
    </row>
    <row r="16" spans="1:6" x14ac:dyDescent="0.25">
      <c r="A16">
        <v>2</v>
      </c>
    </row>
    <row r="17" spans="1:1" x14ac:dyDescent="0.25">
      <c r="A17">
        <v>2</v>
      </c>
    </row>
    <row r="18" spans="1:1" x14ac:dyDescent="0.25">
      <c r="A18">
        <v>1</v>
      </c>
    </row>
    <row r="19" spans="1:1" x14ac:dyDescent="0.25">
      <c r="A19">
        <v>1</v>
      </c>
    </row>
    <row r="20" spans="1:1" x14ac:dyDescent="0.25">
      <c r="A20">
        <v>1</v>
      </c>
    </row>
    <row r="21" spans="1:1" x14ac:dyDescent="0.25">
      <c r="A21">
        <v>1</v>
      </c>
    </row>
    <row r="22" spans="1:1" x14ac:dyDescent="0.25">
      <c r="A22">
        <v>7</v>
      </c>
    </row>
    <row r="23" spans="1:1" x14ac:dyDescent="0.25">
      <c r="A23">
        <v>7</v>
      </c>
    </row>
    <row r="24" spans="1:1" x14ac:dyDescent="0.25">
      <c r="A24">
        <v>6</v>
      </c>
    </row>
    <row r="25" spans="1:1" x14ac:dyDescent="0.25">
      <c r="A25">
        <v>1</v>
      </c>
    </row>
    <row r="26" spans="1:1" x14ac:dyDescent="0.25">
      <c r="A26">
        <v>2</v>
      </c>
    </row>
    <row r="27" spans="1:1" x14ac:dyDescent="0.25">
      <c r="A27">
        <v>1</v>
      </c>
    </row>
    <row r="28" spans="1:1" x14ac:dyDescent="0.25">
      <c r="A28">
        <v>1</v>
      </c>
    </row>
    <row r="29" spans="1:1" x14ac:dyDescent="0.25">
      <c r="A29">
        <v>1</v>
      </c>
    </row>
    <row r="30" spans="1:1" x14ac:dyDescent="0.25">
      <c r="A30">
        <v>1</v>
      </c>
    </row>
    <row r="31" spans="1:1" x14ac:dyDescent="0.25">
      <c r="A31">
        <v>7</v>
      </c>
    </row>
    <row r="32" spans="1:1" x14ac:dyDescent="0.25">
      <c r="A32">
        <v>1</v>
      </c>
    </row>
    <row r="33" spans="1:1" x14ac:dyDescent="0.25">
      <c r="A33">
        <v>3</v>
      </c>
    </row>
    <row r="34" spans="1:1" x14ac:dyDescent="0.25">
      <c r="A34">
        <v>1</v>
      </c>
    </row>
    <row r="35" spans="1:1" x14ac:dyDescent="0.25">
      <c r="A35">
        <v>1</v>
      </c>
    </row>
    <row r="36" spans="1:1" x14ac:dyDescent="0.25">
      <c r="A36">
        <v>1</v>
      </c>
    </row>
    <row r="37" spans="1:1" x14ac:dyDescent="0.25">
      <c r="A37">
        <v>1</v>
      </c>
    </row>
    <row r="38" spans="1:1" x14ac:dyDescent="0.25">
      <c r="A38">
        <v>1</v>
      </c>
    </row>
    <row r="39" spans="1:1" x14ac:dyDescent="0.25">
      <c r="A39">
        <v>2</v>
      </c>
    </row>
    <row r="40" spans="1:1" x14ac:dyDescent="0.25">
      <c r="A40">
        <v>1</v>
      </c>
    </row>
    <row r="41" spans="1:1" x14ac:dyDescent="0.25">
      <c r="A41">
        <v>2</v>
      </c>
    </row>
    <row r="42" spans="1:1" x14ac:dyDescent="0.25">
      <c r="A42">
        <v>5</v>
      </c>
    </row>
    <row r="43" spans="1:1" x14ac:dyDescent="0.25">
      <c r="A43">
        <v>8</v>
      </c>
    </row>
    <row r="44" spans="1:1" x14ac:dyDescent="0.25">
      <c r="A44">
        <v>1</v>
      </c>
    </row>
    <row r="45" spans="1:1" x14ac:dyDescent="0.25">
      <c r="A45">
        <v>1</v>
      </c>
    </row>
    <row r="46" spans="1:1" x14ac:dyDescent="0.25">
      <c r="A46">
        <v>1</v>
      </c>
    </row>
    <row r="47" spans="1:1" x14ac:dyDescent="0.25">
      <c r="A47">
        <v>1</v>
      </c>
    </row>
    <row r="48" spans="1:1" x14ac:dyDescent="0.25">
      <c r="A48">
        <v>1</v>
      </c>
    </row>
    <row r="49" spans="1:1" x14ac:dyDescent="0.25">
      <c r="A49">
        <v>1</v>
      </c>
    </row>
    <row r="50" spans="1:1" x14ac:dyDescent="0.25">
      <c r="A50">
        <v>1</v>
      </c>
    </row>
    <row r="51" spans="1:1" x14ac:dyDescent="0.25">
      <c r="A51">
        <v>1</v>
      </c>
    </row>
    <row r="52" spans="1:1" x14ac:dyDescent="0.25">
      <c r="A52">
        <v>1</v>
      </c>
    </row>
    <row r="53" spans="1:1" x14ac:dyDescent="0.25">
      <c r="A53">
        <v>1</v>
      </c>
    </row>
    <row r="54" spans="1:1" x14ac:dyDescent="0.25">
      <c r="A54">
        <v>7</v>
      </c>
    </row>
    <row r="55" spans="1:1" x14ac:dyDescent="0.25">
      <c r="A55">
        <v>1</v>
      </c>
    </row>
    <row r="56" spans="1:1" x14ac:dyDescent="0.25">
      <c r="A56">
        <v>2</v>
      </c>
    </row>
    <row r="57" spans="1:1" x14ac:dyDescent="0.25">
      <c r="A57">
        <v>5</v>
      </c>
    </row>
    <row r="58" spans="1:1" x14ac:dyDescent="0.25">
      <c r="A58">
        <v>1</v>
      </c>
    </row>
    <row r="59" spans="1:1" x14ac:dyDescent="0.25">
      <c r="A59">
        <v>1</v>
      </c>
    </row>
    <row r="60" spans="1:1" x14ac:dyDescent="0.25">
      <c r="A60">
        <v>7</v>
      </c>
    </row>
    <row r="61" spans="1:1" x14ac:dyDescent="0.25">
      <c r="A61">
        <v>2</v>
      </c>
    </row>
    <row r="62" spans="1:1" x14ac:dyDescent="0.25">
      <c r="A62">
        <v>1</v>
      </c>
    </row>
    <row r="63" spans="1:1" x14ac:dyDescent="0.25">
      <c r="A63">
        <v>8</v>
      </c>
    </row>
    <row r="64" spans="1:1" x14ac:dyDescent="0.25">
      <c r="A64">
        <v>1</v>
      </c>
    </row>
    <row r="65" spans="1:1" x14ac:dyDescent="0.25">
      <c r="A65">
        <v>1</v>
      </c>
    </row>
    <row r="66" spans="1:1" x14ac:dyDescent="0.25">
      <c r="A66">
        <v>1</v>
      </c>
    </row>
    <row r="67" spans="1:1" x14ac:dyDescent="0.25">
      <c r="A67">
        <v>1</v>
      </c>
    </row>
    <row r="68" spans="1:1" x14ac:dyDescent="0.25">
      <c r="A68">
        <v>1</v>
      </c>
    </row>
    <row r="69" spans="1:1" x14ac:dyDescent="0.25">
      <c r="A69">
        <v>1</v>
      </c>
    </row>
    <row r="70" spans="1:1" x14ac:dyDescent="0.25">
      <c r="A70">
        <v>1</v>
      </c>
    </row>
    <row r="71" spans="1:1" x14ac:dyDescent="0.25">
      <c r="A71">
        <v>8</v>
      </c>
    </row>
    <row r="72" spans="1:1" x14ac:dyDescent="0.25">
      <c r="A72">
        <v>5</v>
      </c>
    </row>
    <row r="73" spans="1:1" x14ac:dyDescent="0.25">
      <c r="A73">
        <v>1</v>
      </c>
    </row>
    <row r="74" spans="1:1" x14ac:dyDescent="0.25">
      <c r="A74">
        <v>1</v>
      </c>
    </row>
    <row r="75" spans="1:1" x14ac:dyDescent="0.25">
      <c r="A75">
        <v>1</v>
      </c>
    </row>
    <row r="76" spans="1:1" x14ac:dyDescent="0.25">
      <c r="A76">
        <v>7</v>
      </c>
    </row>
    <row r="77" spans="1:1" x14ac:dyDescent="0.25">
      <c r="A77">
        <v>1</v>
      </c>
    </row>
    <row r="78" spans="1:1" x14ac:dyDescent="0.25">
      <c r="A78">
        <v>1</v>
      </c>
    </row>
    <row r="79" spans="1:1" x14ac:dyDescent="0.25">
      <c r="A79">
        <v>7</v>
      </c>
    </row>
    <row r="80" spans="1:1" x14ac:dyDescent="0.25">
      <c r="A80">
        <v>8</v>
      </c>
    </row>
    <row r="81" spans="1:1" x14ac:dyDescent="0.25">
      <c r="A81">
        <v>1</v>
      </c>
    </row>
    <row r="82" spans="1:1" x14ac:dyDescent="0.25">
      <c r="A82">
        <v>4</v>
      </c>
    </row>
    <row r="83" spans="1:1" x14ac:dyDescent="0.25">
      <c r="A83">
        <v>4</v>
      </c>
    </row>
    <row r="84" spans="1:1" x14ac:dyDescent="0.25">
      <c r="A84">
        <v>7</v>
      </c>
    </row>
    <row r="85" spans="1:1" x14ac:dyDescent="0.25">
      <c r="A85">
        <v>7</v>
      </c>
    </row>
    <row r="86" spans="1:1" x14ac:dyDescent="0.25">
      <c r="A86">
        <v>7</v>
      </c>
    </row>
    <row r="87" spans="1:1" x14ac:dyDescent="0.25">
      <c r="A87">
        <v>4</v>
      </c>
    </row>
    <row r="88" spans="1:1" x14ac:dyDescent="0.25">
      <c r="A88">
        <v>1</v>
      </c>
    </row>
    <row r="89" spans="1:1" x14ac:dyDescent="0.25">
      <c r="A89">
        <v>1</v>
      </c>
    </row>
    <row r="90" spans="1:1" x14ac:dyDescent="0.25">
      <c r="A90">
        <v>1</v>
      </c>
    </row>
    <row r="91" spans="1:1" x14ac:dyDescent="0.25">
      <c r="A91">
        <v>1</v>
      </c>
    </row>
    <row r="92" spans="1:1" x14ac:dyDescent="0.25">
      <c r="A92">
        <v>5</v>
      </c>
    </row>
    <row r="93" spans="1:1" x14ac:dyDescent="0.25">
      <c r="A93">
        <v>8</v>
      </c>
    </row>
    <row r="94" spans="1:1" x14ac:dyDescent="0.25">
      <c r="A94">
        <v>2</v>
      </c>
    </row>
    <row r="95" spans="1:1" x14ac:dyDescent="0.25">
      <c r="A95">
        <v>4</v>
      </c>
    </row>
    <row r="96" spans="1:1" x14ac:dyDescent="0.25">
      <c r="A96">
        <v>3</v>
      </c>
    </row>
    <row r="97" spans="1:1" x14ac:dyDescent="0.25">
      <c r="A97">
        <v>3</v>
      </c>
    </row>
    <row r="98" spans="1:1" x14ac:dyDescent="0.25">
      <c r="A98">
        <v>1</v>
      </c>
    </row>
    <row r="99" spans="1:1" x14ac:dyDescent="0.25">
      <c r="A99">
        <v>1</v>
      </c>
    </row>
    <row r="100" spans="1:1" x14ac:dyDescent="0.25">
      <c r="A100">
        <v>4</v>
      </c>
    </row>
    <row r="101" spans="1:1" x14ac:dyDescent="0.25">
      <c r="A101">
        <v>1</v>
      </c>
    </row>
    <row r="102" spans="1:1" x14ac:dyDescent="0.25">
      <c r="A102">
        <v>1</v>
      </c>
    </row>
    <row r="103" spans="1:1" x14ac:dyDescent="0.25">
      <c r="A103">
        <v>1</v>
      </c>
    </row>
    <row r="104" spans="1:1" x14ac:dyDescent="0.25">
      <c r="A104">
        <v>1</v>
      </c>
    </row>
    <row r="105" spans="1:1" x14ac:dyDescent="0.25">
      <c r="A105">
        <v>1</v>
      </c>
    </row>
    <row r="106" spans="1:1" x14ac:dyDescent="0.25">
      <c r="A106">
        <v>1</v>
      </c>
    </row>
    <row r="107" spans="1:1" x14ac:dyDescent="0.25">
      <c r="A107">
        <v>5</v>
      </c>
    </row>
    <row r="108" spans="1:1" x14ac:dyDescent="0.25">
      <c r="A108">
        <v>5</v>
      </c>
    </row>
    <row r="109" spans="1:1" x14ac:dyDescent="0.25">
      <c r="A109">
        <v>1</v>
      </c>
    </row>
    <row r="110" spans="1:1" x14ac:dyDescent="0.25">
      <c r="A110">
        <v>1</v>
      </c>
    </row>
    <row r="111" spans="1:1" x14ac:dyDescent="0.25">
      <c r="A111">
        <v>1</v>
      </c>
    </row>
    <row r="112" spans="1:1" x14ac:dyDescent="0.25">
      <c r="A112">
        <v>1</v>
      </c>
    </row>
    <row r="113" spans="1:1" x14ac:dyDescent="0.25">
      <c r="A113">
        <v>1</v>
      </c>
    </row>
    <row r="114" spans="1:1" x14ac:dyDescent="0.25">
      <c r="A114">
        <v>1</v>
      </c>
    </row>
    <row r="115" spans="1:1" x14ac:dyDescent="0.25">
      <c r="A115">
        <v>7</v>
      </c>
    </row>
    <row r="116" spans="1:1" x14ac:dyDescent="0.25">
      <c r="A116">
        <v>1</v>
      </c>
    </row>
    <row r="117" spans="1:1" x14ac:dyDescent="0.25">
      <c r="A117">
        <v>7</v>
      </c>
    </row>
    <row r="118" spans="1:1" x14ac:dyDescent="0.25">
      <c r="A118">
        <v>1</v>
      </c>
    </row>
    <row r="119" spans="1:1" x14ac:dyDescent="0.25">
      <c r="A119">
        <v>1</v>
      </c>
    </row>
    <row r="120" spans="1:1" x14ac:dyDescent="0.25">
      <c r="A120">
        <v>1</v>
      </c>
    </row>
    <row r="121" spans="1:1" x14ac:dyDescent="0.25">
      <c r="A121">
        <v>7</v>
      </c>
    </row>
    <row r="122" spans="1:1" x14ac:dyDescent="0.25">
      <c r="A122">
        <v>5</v>
      </c>
    </row>
    <row r="123" spans="1:1" x14ac:dyDescent="0.25">
      <c r="A123">
        <v>2</v>
      </c>
    </row>
    <row r="124" spans="1:1" x14ac:dyDescent="0.25">
      <c r="A124">
        <v>5</v>
      </c>
    </row>
    <row r="125" spans="1:1" x14ac:dyDescent="0.25">
      <c r="A125">
        <v>1</v>
      </c>
    </row>
    <row r="126" spans="1:1" x14ac:dyDescent="0.25">
      <c r="A126">
        <v>5</v>
      </c>
    </row>
    <row r="127" spans="1:1" x14ac:dyDescent="0.25">
      <c r="A127">
        <v>5</v>
      </c>
    </row>
    <row r="128" spans="1:1" x14ac:dyDescent="0.25">
      <c r="A128">
        <v>1</v>
      </c>
    </row>
    <row r="129" spans="1:1" x14ac:dyDescent="0.25">
      <c r="A129">
        <v>1</v>
      </c>
    </row>
    <row r="130" spans="1:1" x14ac:dyDescent="0.25">
      <c r="A130">
        <v>5</v>
      </c>
    </row>
    <row r="131" spans="1:1" x14ac:dyDescent="0.25">
      <c r="A131">
        <v>1</v>
      </c>
    </row>
    <row r="132" spans="1:1" x14ac:dyDescent="0.25">
      <c r="A132">
        <v>1</v>
      </c>
    </row>
    <row r="133" spans="1:1" x14ac:dyDescent="0.25">
      <c r="A133">
        <v>5</v>
      </c>
    </row>
    <row r="134" spans="1:1" x14ac:dyDescent="0.25">
      <c r="A134">
        <v>3</v>
      </c>
    </row>
    <row r="135" spans="1:1" x14ac:dyDescent="0.25">
      <c r="A135">
        <v>8</v>
      </c>
    </row>
    <row r="136" spans="1:1" x14ac:dyDescent="0.25">
      <c r="A136">
        <v>1</v>
      </c>
    </row>
    <row r="137" spans="1:1" x14ac:dyDescent="0.25">
      <c r="A137">
        <v>1</v>
      </c>
    </row>
    <row r="138" spans="1:1" x14ac:dyDescent="0.25">
      <c r="A138">
        <v>5</v>
      </c>
    </row>
    <row r="139" spans="1:1" x14ac:dyDescent="0.25">
      <c r="A139">
        <v>1</v>
      </c>
    </row>
    <row r="140" spans="1:1" x14ac:dyDescent="0.25">
      <c r="A140">
        <v>1</v>
      </c>
    </row>
    <row r="141" spans="1:1" x14ac:dyDescent="0.25">
      <c r="A141">
        <v>1</v>
      </c>
    </row>
    <row r="142" spans="1:1" x14ac:dyDescent="0.25">
      <c r="A142">
        <v>1</v>
      </c>
    </row>
    <row r="143" spans="1:1" x14ac:dyDescent="0.25">
      <c r="A143">
        <v>1</v>
      </c>
    </row>
    <row r="144" spans="1:1" x14ac:dyDescent="0.25">
      <c r="A144">
        <v>1</v>
      </c>
    </row>
    <row r="145" spans="1:1" x14ac:dyDescent="0.25">
      <c r="A145">
        <v>5</v>
      </c>
    </row>
    <row r="146" spans="1:1" x14ac:dyDescent="0.25">
      <c r="A146">
        <v>3</v>
      </c>
    </row>
    <row r="147" spans="1:1" x14ac:dyDescent="0.25">
      <c r="A147">
        <v>1</v>
      </c>
    </row>
    <row r="148" spans="1:1" x14ac:dyDescent="0.25">
      <c r="A148">
        <v>7</v>
      </c>
    </row>
    <row r="149" spans="1:1" x14ac:dyDescent="0.25">
      <c r="A149">
        <v>1</v>
      </c>
    </row>
    <row r="150" spans="1:1" x14ac:dyDescent="0.25">
      <c r="A150">
        <v>1</v>
      </c>
    </row>
    <row r="151" spans="1:1" x14ac:dyDescent="0.25">
      <c r="A151">
        <v>2</v>
      </c>
    </row>
    <row r="152" spans="1:1" x14ac:dyDescent="0.25">
      <c r="A152">
        <v>5</v>
      </c>
    </row>
    <row r="153" spans="1:1" x14ac:dyDescent="0.25">
      <c r="A153">
        <v>1</v>
      </c>
    </row>
    <row r="154" spans="1:1" x14ac:dyDescent="0.25">
      <c r="A154">
        <v>1</v>
      </c>
    </row>
    <row r="155" spans="1:1" x14ac:dyDescent="0.25">
      <c r="A155">
        <v>2</v>
      </c>
    </row>
    <row r="156" spans="1:1" x14ac:dyDescent="0.25">
      <c r="A156">
        <v>5</v>
      </c>
    </row>
    <row r="157" spans="1:1" x14ac:dyDescent="0.25">
      <c r="A157">
        <v>1</v>
      </c>
    </row>
    <row r="158" spans="1:1" x14ac:dyDescent="0.25">
      <c r="A158">
        <v>8</v>
      </c>
    </row>
    <row r="159" spans="1:1" x14ac:dyDescent="0.25">
      <c r="A159">
        <v>1</v>
      </c>
    </row>
    <row r="160" spans="1:1" x14ac:dyDescent="0.25">
      <c r="A160">
        <v>5</v>
      </c>
    </row>
    <row r="161" spans="1:1" x14ac:dyDescent="0.25">
      <c r="A161">
        <v>1</v>
      </c>
    </row>
    <row r="162" spans="1:1" x14ac:dyDescent="0.25">
      <c r="A162">
        <v>1</v>
      </c>
    </row>
    <row r="163" spans="1:1" x14ac:dyDescent="0.25">
      <c r="A163">
        <v>5</v>
      </c>
    </row>
    <row r="164" spans="1:1" x14ac:dyDescent="0.25">
      <c r="A164">
        <v>1</v>
      </c>
    </row>
    <row r="165" spans="1:1" x14ac:dyDescent="0.25">
      <c r="A165">
        <v>1</v>
      </c>
    </row>
    <row r="166" spans="1:1" x14ac:dyDescent="0.25">
      <c r="A166">
        <v>5</v>
      </c>
    </row>
    <row r="167" spans="1:1" x14ac:dyDescent="0.25">
      <c r="A167">
        <v>8</v>
      </c>
    </row>
    <row r="168" spans="1:1" x14ac:dyDescent="0.25">
      <c r="A168">
        <v>5</v>
      </c>
    </row>
    <row r="169" spans="1:1" x14ac:dyDescent="0.25">
      <c r="A169">
        <v>5</v>
      </c>
    </row>
    <row r="170" spans="1:1" x14ac:dyDescent="0.25">
      <c r="A170">
        <v>5</v>
      </c>
    </row>
    <row r="171" spans="1:1" x14ac:dyDescent="0.25">
      <c r="A171">
        <v>2</v>
      </c>
    </row>
    <row r="172" spans="1:1" x14ac:dyDescent="0.25">
      <c r="A172">
        <v>1</v>
      </c>
    </row>
    <row r="173" spans="1:1" x14ac:dyDescent="0.25">
      <c r="A173">
        <v>1</v>
      </c>
    </row>
    <row r="174" spans="1:1" x14ac:dyDescent="0.25">
      <c r="A174">
        <v>7</v>
      </c>
    </row>
    <row r="175" spans="1:1" x14ac:dyDescent="0.25">
      <c r="A175">
        <v>5</v>
      </c>
    </row>
    <row r="176" spans="1:1" x14ac:dyDescent="0.25">
      <c r="A176">
        <v>2</v>
      </c>
    </row>
    <row r="177" spans="1:1" x14ac:dyDescent="0.25">
      <c r="A177">
        <v>5</v>
      </c>
    </row>
    <row r="178" spans="1:1" x14ac:dyDescent="0.25">
      <c r="A178">
        <v>2</v>
      </c>
    </row>
    <row r="179" spans="1:1" x14ac:dyDescent="0.25">
      <c r="A179">
        <v>2</v>
      </c>
    </row>
    <row r="180" spans="1:1" x14ac:dyDescent="0.25">
      <c r="A180">
        <v>1</v>
      </c>
    </row>
    <row r="181" spans="1:1" x14ac:dyDescent="0.25">
      <c r="A181">
        <v>1</v>
      </c>
    </row>
    <row r="182" spans="1:1" x14ac:dyDescent="0.25">
      <c r="A182">
        <v>7</v>
      </c>
    </row>
    <row r="183" spans="1:1" x14ac:dyDescent="0.25">
      <c r="A183">
        <v>7</v>
      </c>
    </row>
    <row r="184" spans="1:1" x14ac:dyDescent="0.25">
      <c r="A184">
        <v>1</v>
      </c>
    </row>
    <row r="185" spans="1:1" x14ac:dyDescent="0.25">
      <c r="A185">
        <v>7</v>
      </c>
    </row>
    <row r="186" spans="1:1" x14ac:dyDescent="0.25">
      <c r="A186">
        <v>2</v>
      </c>
    </row>
    <row r="187" spans="1:1" x14ac:dyDescent="0.25">
      <c r="A187">
        <v>1</v>
      </c>
    </row>
    <row r="188" spans="1:1" x14ac:dyDescent="0.25">
      <c r="A188">
        <v>2</v>
      </c>
    </row>
    <row r="189" spans="1:1" x14ac:dyDescent="0.25">
      <c r="A189">
        <v>1</v>
      </c>
    </row>
    <row r="190" spans="1:1" x14ac:dyDescent="0.25">
      <c r="A190">
        <v>1</v>
      </c>
    </row>
    <row r="191" spans="1:1" x14ac:dyDescent="0.25">
      <c r="A191">
        <v>1</v>
      </c>
    </row>
    <row r="192" spans="1:1" x14ac:dyDescent="0.25">
      <c r="A192">
        <v>3</v>
      </c>
    </row>
    <row r="193" spans="1:1" x14ac:dyDescent="0.25">
      <c r="A193">
        <v>7</v>
      </c>
    </row>
    <row r="194" spans="1:1" x14ac:dyDescent="0.25">
      <c r="A194">
        <v>2</v>
      </c>
    </row>
    <row r="195" spans="1:1" x14ac:dyDescent="0.25">
      <c r="A195">
        <v>1</v>
      </c>
    </row>
    <row r="196" spans="1:1" x14ac:dyDescent="0.25">
      <c r="A196">
        <v>5</v>
      </c>
    </row>
    <row r="197" spans="1:1" x14ac:dyDescent="0.25">
      <c r="A197">
        <v>5</v>
      </c>
    </row>
    <row r="198" spans="1:1" x14ac:dyDescent="0.25">
      <c r="A198">
        <v>2</v>
      </c>
    </row>
    <row r="199" spans="1:1" x14ac:dyDescent="0.25">
      <c r="A199">
        <v>2</v>
      </c>
    </row>
    <row r="200" spans="1:1" x14ac:dyDescent="0.25">
      <c r="A200">
        <v>1</v>
      </c>
    </row>
    <row r="201" spans="1:1" x14ac:dyDescent="0.25">
      <c r="A201">
        <v>4</v>
      </c>
    </row>
    <row r="202" spans="1:1" x14ac:dyDescent="0.25">
      <c r="A202">
        <v>4</v>
      </c>
    </row>
    <row r="203" spans="1:1" x14ac:dyDescent="0.25">
      <c r="A203">
        <v>7</v>
      </c>
    </row>
    <row r="204" spans="1:1" x14ac:dyDescent="0.25">
      <c r="A204">
        <v>7</v>
      </c>
    </row>
    <row r="205" spans="1:1" x14ac:dyDescent="0.25">
      <c r="A205">
        <v>1</v>
      </c>
    </row>
    <row r="206" spans="1:1" x14ac:dyDescent="0.25">
      <c r="A206">
        <v>1</v>
      </c>
    </row>
    <row r="207" spans="1:1" x14ac:dyDescent="0.25">
      <c r="A207">
        <v>1</v>
      </c>
    </row>
    <row r="208" spans="1:1" x14ac:dyDescent="0.25">
      <c r="A208">
        <v>4</v>
      </c>
    </row>
    <row r="209" spans="1:1" x14ac:dyDescent="0.25">
      <c r="A209">
        <v>1</v>
      </c>
    </row>
    <row r="210" spans="1:1" x14ac:dyDescent="0.25">
      <c r="A210">
        <v>7</v>
      </c>
    </row>
    <row r="211" spans="1:1" x14ac:dyDescent="0.25">
      <c r="A211">
        <v>2</v>
      </c>
    </row>
    <row r="212" spans="1:1" x14ac:dyDescent="0.25">
      <c r="A212">
        <v>7</v>
      </c>
    </row>
    <row r="213" spans="1:1" x14ac:dyDescent="0.25">
      <c r="A213">
        <v>7</v>
      </c>
    </row>
    <row r="214" spans="1:1" x14ac:dyDescent="0.25">
      <c r="A214">
        <v>2</v>
      </c>
    </row>
    <row r="215" spans="1:1" x14ac:dyDescent="0.25">
      <c r="A215">
        <v>1</v>
      </c>
    </row>
    <row r="216" spans="1:1" x14ac:dyDescent="0.25">
      <c r="A216">
        <v>6</v>
      </c>
    </row>
    <row r="217" spans="1:1" x14ac:dyDescent="0.25">
      <c r="A217">
        <v>8</v>
      </c>
    </row>
    <row r="218" spans="1:1" x14ac:dyDescent="0.25">
      <c r="A218">
        <v>1</v>
      </c>
    </row>
    <row r="219" spans="1:1" x14ac:dyDescent="0.25">
      <c r="A219">
        <v>5</v>
      </c>
    </row>
    <row r="220" spans="1:1" x14ac:dyDescent="0.25">
      <c r="A220">
        <v>1</v>
      </c>
    </row>
    <row r="221" spans="1:1" x14ac:dyDescent="0.25">
      <c r="A221">
        <v>2</v>
      </c>
    </row>
    <row r="222" spans="1:1" x14ac:dyDescent="0.25">
      <c r="A222">
        <v>2</v>
      </c>
    </row>
    <row r="223" spans="1:1" x14ac:dyDescent="0.25">
      <c r="A223">
        <v>1</v>
      </c>
    </row>
    <row r="224" spans="1:1" x14ac:dyDescent="0.25">
      <c r="A224">
        <v>7</v>
      </c>
    </row>
    <row r="225" spans="1:1" x14ac:dyDescent="0.25">
      <c r="A225">
        <v>1</v>
      </c>
    </row>
    <row r="226" spans="1:1" x14ac:dyDescent="0.25">
      <c r="A226">
        <v>1</v>
      </c>
    </row>
    <row r="227" spans="1:1" x14ac:dyDescent="0.25">
      <c r="A227">
        <v>2</v>
      </c>
    </row>
    <row r="228" spans="1:1" x14ac:dyDescent="0.25">
      <c r="A228">
        <v>5</v>
      </c>
    </row>
    <row r="229" spans="1:1" x14ac:dyDescent="0.25">
      <c r="A229">
        <v>2</v>
      </c>
    </row>
    <row r="230" spans="1:1" x14ac:dyDescent="0.25">
      <c r="A230">
        <v>4</v>
      </c>
    </row>
    <row r="231" spans="1:1" x14ac:dyDescent="0.25">
      <c r="A231">
        <v>4</v>
      </c>
    </row>
    <row r="232" spans="1:1" x14ac:dyDescent="0.25">
      <c r="A232">
        <v>2</v>
      </c>
    </row>
    <row r="233" spans="1:1" x14ac:dyDescent="0.25">
      <c r="A233">
        <v>2</v>
      </c>
    </row>
    <row r="234" spans="1:1" x14ac:dyDescent="0.25">
      <c r="A234">
        <v>1</v>
      </c>
    </row>
    <row r="235" spans="1:1" x14ac:dyDescent="0.25">
      <c r="A235">
        <v>7</v>
      </c>
    </row>
    <row r="236" spans="1:1" x14ac:dyDescent="0.25">
      <c r="A236">
        <v>6</v>
      </c>
    </row>
    <row r="237" spans="1:1" x14ac:dyDescent="0.25">
      <c r="A237">
        <v>6</v>
      </c>
    </row>
    <row r="238" spans="1:1" x14ac:dyDescent="0.25">
      <c r="A238">
        <v>1</v>
      </c>
    </row>
    <row r="239" spans="1:1" x14ac:dyDescent="0.25">
      <c r="A239">
        <v>7</v>
      </c>
    </row>
    <row r="240" spans="1:1" x14ac:dyDescent="0.25">
      <c r="A240">
        <v>1</v>
      </c>
    </row>
    <row r="241" spans="1:1" x14ac:dyDescent="0.25">
      <c r="A241">
        <v>1</v>
      </c>
    </row>
    <row r="242" spans="1:1" x14ac:dyDescent="0.25">
      <c r="A242">
        <v>1</v>
      </c>
    </row>
    <row r="243" spans="1:1" x14ac:dyDescent="0.25">
      <c r="A243">
        <v>1</v>
      </c>
    </row>
    <row r="244" spans="1:1" x14ac:dyDescent="0.25">
      <c r="A244">
        <v>1</v>
      </c>
    </row>
    <row r="245" spans="1:1" x14ac:dyDescent="0.25">
      <c r="A245">
        <v>1</v>
      </c>
    </row>
    <row r="246" spans="1:1" x14ac:dyDescent="0.25">
      <c r="A246">
        <v>5</v>
      </c>
    </row>
    <row r="247" spans="1:1" x14ac:dyDescent="0.25">
      <c r="A247">
        <v>5</v>
      </c>
    </row>
    <row r="248" spans="1:1" x14ac:dyDescent="0.25">
      <c r="A248">
        <v>5</v>
      </c>
    </row>
    <row r="249" spans="1:1" x14ac:dyDescent="0.25">
      <c r="A249">
        <v>3</v>
      </c>
    </row>
    <row r="250" spans="1:1" x14ac:dyDescent="0.25">
      <c r="A250">
        <v>1</v>
      </c>
    </row>
    <row r="251" spans="1:1" x14ac:dyDescent="0.25">
      <c r="A251">
        <v>1</v>
      </c>
    </row>
    <row r="252" spans="1:1" x14ac:dyDescent="0.25">
      <c r="A252">
        <v>1</v>
      </c>
    </row>
    <row r="253" spans="1:1" x14ac:dyDescent="0.25">
      <c r="A253">
        <v>5</v>
      </c>
    </row>
    <row r="254" spans="1:1" x14ac:dyDescent="0.25">
      <c r="A254">
        <v>6</v>
      </c>
    </row>
    <row r="255" spans="1:1" x14ac:dyDescent="0.25">
      <c r="A255">
        <v>1</v>
      </c>
    </row>
    <row r="256" spans="1:1" x14ac:dyDescent="0.25">
      <c r="A256">
        <v>1</v>
      </c>
    </row>
    <row r="257" spans="1:1" x14ac:dyDescent="0.25">
      <c r="A257">
        <v>3</v>
      </c>
    </row>
    <row r="258" spans="1:1" x14ac:dyDescent="0.25">
      <c r="A258">
        <v>5</v>
      </c>
    </row>
    <row r="259" spans="1:1" x14ac:dyDescent="0.25">
      <c r="A259">
        <v>1</v>
      </c>
    </row>
    <row r="260" spans="1:1" x14ac:dyDescent="0.25">
      <c r="A260">
        <v>7</v>
      </c>
    </row>
    <row r="261" spans="1:1" x14ac:dyDescent="0.25">
      <c r="A261">
        <v>4</v>
      </c>
    </row>
    <row r="262" spans="1:1" x14ac:dyDescent="0.25">
      <c r="A262">
        <v>4</v>
      </c>
    </row>
    <row r="263" spans="1:1" x14ac:dyDescent="0.25">
      <c r="A263">
        <v>1</v>
      </c>
    </row>
    <row r="264" spans="1:1" x14ac:dyDescent="0.25">
      <c r="A264">
        <v>8</v>
      </c>
    </row>
    <row r="265" spans="1:1" x14ac:dyDescent="0.25">
      <c r="A265">
        <v>5</v>
      </c>
    </row>
    <row r="266" spans="1:1" x14ac:dyDescent="0.25">
      <c r="A266">
        <v>8</v>
      </c>
    </row>
    <row r="267" spans="1:1" x14ac:dyDescent="0.25">
      <c r="A267">
        <v>7</v>
      </c>
    </row>
    <row r="268" spans="1:1" x14ac:dyDescent="0.25">
      <c r="A268">
        <v>5</v>
      </c>
    </row>
    <row r="269" spans="1:1" x14ac:dyDescent="0.25">
      <c r="A269">
        <v>7</v>
      </c>
    </row>
    <row r="270" spans="1:1" x14ac:dyDescent="0.25">
      <c r="A270">
        <v>1</v>
      </c>
    </row>
    <row r="271" spans="1:1" x14ac:dyDescent="0.25">
      <c r="A271">
        <v>1</v>
      </c>
    </row>
    <row r="272" spans="1:1" x14ac:dyDescent="0.25">
      <c r="A272">
        <v>5</v>
      </c>
    </row>
    <row r="273" spans="1:1" x14ac:dyDescent="0.25">
      <c r="A273">
        <v>5</v>
      </c>
    </row>
    <row r="274" spans="1:1" x14ac:dyDescent="0.25">
      <c r="A274">
        <v>1</v>
      </c>
    </row>
    <row r="275" spans="1:1" x14ac:dyDescent="0.25">
      <c r="A275">
        <v>1</v>
      </c>
    </row>
    <row r="276" spans="1:1" x14ac:dyDescent="0.25">
      <c r="A276">
        <v>4</v>
      </c>
    </row>
    <row r="277" spans="1:1" x14ac:dyDescent="0.25">
      <c r="A277">
        <v>2</v>
      </c>
    </row>
    <row r="278" spans="1:1" x14ac:dyDescent="0.25">
      <c r="A278">
        <v>4</v>
      </c>
    </row>
    <row r="279" spans="1:1" x14ac:dyDescent="0.25">
      <c r="A279">
        <v>4</v>
      </c>
    </row>
    <row r="280" spans="1:1" x14ac:dyDescent="0.25">
      <c r="A280">
        <v>1</v>
      </c>
    </row>
    <row r="281" spans="1:1" x14ac:dyDescent="0.25">
      <c r="A281">
        <v>7</v>
      </c>
    </row>
    <row r="282" spans="1:1" x14ac:dyDescent="0.25">
      <c r="A282">
        <v>1</v>
      </c>
    </row>
    <row r="283" spans="1:1" x14ac:dyDescent="0.25">
      <c r="A283">
        <v>1</v>
      </c>
    </row>
    <row r="284" spans="1:1" x14ac:dyDescent="0.25">
      <c r="A284">
        <v>6</v>
      </c>
    </row>
    <row r="285" spans="1:1" x14ac:dyDescent="0.25">
      <c r="A285">
        <v>5</v>
      </c>
    </row>
    <row r="286" spans="1:1" x14ac:dyDescent="0.25">
      <c r="A286">
        <v>5</v>
      </c>
    </row>
    <row r="287" spans="1:1" x14ac:dyDescent="0.25">
      <c r="A287">
        <v>1</v>
      </c>
    </row>
    <row r="288" spans="1:1" x14ac:dyDescent="0.25">
      <c r="A288">
        <v>1</v>
      </c>
    </row>
    <row r="289" spans="1:1" x14ac:dyDescent="0.25">
      <c r="A289">
        <v>1</v>
      </c>
    </row>
    <row r="290" spans="1:1" x14ac:dyDescent="0.25">
      <c r="A290">
        <v>2</v>
      </c>
    </row>
    <row r="291" spans="1:1" x14ac:dyDescent="0.25">
      <c r="A291">
        <v>2</v>
      </c>
    </row>
    <row r="292" spans="1:1" x14ac:dyDescent="0.25">
      <c r="A292">
        <v>2</v>
      </c>
    </row>
    <row r="293" spans="1:1" x14ac:dyDescent="0.25">
      <c r="A293">
        <v>5</v>
      </c>
    </row>
    <row r="294" spans="1:1" x14ac:dyDescent="0.25">
      <c r="A294">
        <v>5</v>
      </c>
    </row>
    <row r="295" spans="1:1" x14ac:dyDescent="0.25">
      <c r="A295">
        <v>1</v>
      </c>
    </row>
    <row r="296" spans="1:1" x14ac:dyDescent="0.25">
      <c r="A296">
        <v>2</v>
      </c>
    </row>
    <row r="297" spans="1:1" x14ac:dyDescent="0.25">
      <c r="A297">
        <v>1</v>
      </c>
    </row>
    <row r="298" spans="1:1" x14ac:dyDescent="0.25">
      <c r="A298">
        <v>2</v>
      </c>
    </row>
    <row r="299" spans="1:1" x14ac:dyDescent="0.25">
      <c r="A299">
        <v>4</v>
      </c>
    </row>
    <row r="300" spans="1:1" x14ac:dyDescent="0.25">
      <c r="A300">
        <v>5</v>
      </c>
    </row>
    <row r="301" spans="1:1" x14ac:dyDescent="0.25">
      <c r="A301">
        <v>5</v>
      </c>
    </row>
    <row r="302" spans="1:1" x14ac:dyDescent="0.25">
      <c r="A302">
        <v>1</v>
      </c>
    </row>
    <row r="303" spans="1:1" x14ac:dyDescent="0.25">
      <c r="A303">
        <v>5</v>
      </c>
    </row>
    <row r="304" spans="1:1" x14ac:dyDescent="0.25">
      <c r="A304">
        <v>1</v>
      </c>
    </row>
    <row r="305" spans="1:1" x14ac:dyDescent="0.25">
      <c r="A305">
        <v>1</v>
      </c>
    </row>
    <row r="306" spans="1:1" x14ac:dyDescent="0.25">
      <c r="A306">
        <v>1</v>
      </c>
    </row>
    <row r="307" spans="1:1" x14ac:dyDescent="0.25">
      <c r="A307">
        <v>1</v>
      </c>
    </row>
    <row r="308" spans="1:1" x14ac:dyDescent="0.25">
      <c r="A308">
        <v>5</v>
      </c>
    </row>
    <row r="309" spans="1:1" x14ac:dyDescent="0.25">
      <c r="A309">
        <v>5</v>
      </c>
    </row>
    <row r="310" spans="1:1" x14ac:dyDescent="0.25">
      <c r="A310">
        <v>5</v>
      </c>
    </row>
    <row r="311" spans="1:1" x14ac:dyDescent="0.25">
      <c r="A311">
        <v>6</v>
      </c>
    </row>
    <row r="312" spans="1:1" x14ac:dyDescent="0.25">
      <c r="A312">
        <v>1</v>
      </c>
    </row>
    <row r="313" spans="1:1" x14ac:dyDescent="0.25">
      <c r="A313">
        <v>1</v>
      </c>
    </row>
    <row r="314" spans="1:1" x14ac:dyDescent="0.25">
      <c r="A314">
        <v>4</v>
      </c>
    </row>
    <row r="315" spans="1:1" x14ac:dyDescent="0.25">
      <c r="A315">
        <v>2</v>
      </c>
    </row>
    <row r="316" spans="1:1" x14ac:dyDescent="0.25">
      <c r="A316">
        <v>1</v>
      </c>
    </row>
    <row r="317" spans="1:1" x14ac:dyDescent="0.25">
      <c r="A317">
        <v>7</v>
      </c>
    </row>
    <row r="318" spans="1:1" x14ac:dyDescent="0.25">
      <c r="A318">
        <v>6</v>
      </c>
    </row>
    <row r="319" spans="1:1" x14ac:dyDescent="0.25">
      <c r="A319">
        <v>1</v>
      </c>
    </row>
    <row r="320" spans="1:1" x14ac:dyDescent="0.25">
      <c r="A320">
        <v>1</v>
      </c>
    </row>
    <row r="321" spans="1:1" x14ac:dyDescent="0.25">
      <c r="A321">
        <v>6</v>
      </c>
    </row>
    <row r="322" spans="1:1" x14ac:dyDescent="0.25">
      <c r="A322">
        <v>5</v>
      </c>
    </row>
    <row r="323" spans="1:1" x14ac:dyDescent="0.25">
      <c r="A323">
        <v>5</v>
      </c>
    </row>
    <row r="324" spans="1:1" x14ac:dyDescent="0.25">
      <c r="A324">
        <v>1</v>
      </c>
    </row>
    <row r="325" spans="1:1" x14ac:dyDescent="0.25">
      <c r="A325">
        <v>1</v>
      </c>
    </row>
    <row r="326" spans="1:1" x14ac:dyDescent="0.25">
      <c r="A326">
        <v>7</v>
      </c>
    </row>
    <row r="327" spans="1:1" x14ac:dyDescent="0.25">
      <c r="A327">
        <v>7</v>
      </c>
    </row>
    <row r="328" spans="1:1" x14ac:dyDescent="0.25">
      <c r="A328">
        <v>2</v>
      </c>
    </row>
    <row r="329" spans="1:1" x14ac:dyDescent="0.25">
      <c r="A329">
        <v>6</v>
      </c>
    </row>
    <row r="330" spans="1:1" x14ac:dyDescent="0.25">
      <c r="A330">
        <v>7</v>
      </c>
    </row>
    <row r="331" spans="1:1" x14ac:dyDescent="0.25">
      <c r="A331">
        <v>1</v>
      </c>
    </row>
    <row r="332" spans="1:1" x14ac:dyDescent="0.25">
      <c r="A332">
        <v>5</v>
      </c>
    </row>
    <row r="333" spans="1:1" x14ac:dyDescent="0.25">
      <c r="A333">
        <v>1</v>
      </c>
    </row>
    <row r="334" spans="1:1" x14ac:dyDescent="0.25">
      <c r="A334">
        <v>1</v>
      </c>
    </row>
    <row r="335" spans="1:1" x14ac:dyDescent="0.25">
      <c r="A335">
        <v>2</v>
      </c>
    </row>
    <row r="336" spans="1:1" x14ac:dyDescent="0.25">
      <c r="A336">
        <v>1</v>
      </c>
    </row>
    <row r="337" spans="1:1" x14ac:dyDescent="0.25">
      <c r="A337">
        <v>5</v>
      </c>
    </row>
    <row r="338" spans="1:1" x14ac:dyDescent="0.25">
      <c r="A338">
        <v>7</v>
      </c>
    </row>
    <row r="339" spans="1:1" x14ac:dyDescent="0.25">
      <c r="A339">
        <v>6</v>
      </c>
    </row>
    <row r="340" spans="1:1" x14ac:dyDescent="0.25">
      <c r="A340">
        <v>4</v>
      </c>
    </row>
    <row r="341" spans="1:1" x14ac:dyDescent="0.25">
      <c r="A341">
        <v>1</v>
      </c>
    </row>
    <row r="342" spans="1:1" x14ac:dyDescent="0.25">
      <c r="A342">
        <v>5</v>
      </c>
    </row>
    <row r="343" spans="1:1" x14ac:dyDescent="0.25">
      <c r="A343">
        <v>1</v>
      </c>
    </row>
    <row r="344" spans="1:1" x14ac:dyDescent="0.25">
      <c r="A344">
        <v>5</v>
      </c>
    </row>
    <row r="345" spans="1:1" x14ac:dyDescent="0.25">
      <c r="A345">
        <v>1</v>
      </c>
    </row>
    <row r="346" spans="1:1" x14ac:dyDescent="0.25">
      <c r="A346">
        <v>1</v>
      </c>
    </row>
    <row r="347" spans="1:1" x14ac:dyDescent="0.25">
      <c r="A347">
        <v>5</v>
      </c>
    </row>
    <row r="348" spans="1:1" x14ac:dyDescent="0.25">
      <c r="A348">
        <v>1</v>
      </c>
    </row>
    <row r="349" spans="1:1" x14ac:dyDescent="0.25">
      <c r="A349">
        <v>1</v>
      </c>
    </row>
    <row r="350" spans="1:1" x14ac:dyDescent="0.25">
      <c r="A350">
        <v>3</v>
      </c>
    </row>
    <row r="351" spans="1:1" x14ac:dyDescent="0.25">
      <c r="A351">
        <v>2</v>
      </c>
    </row>
    <row r="352" spans="1:1" x14ac:dyDescent="0.25">
      <c r="A352">
        <v>6</v>
      </c>
    </row>
    <row r="353" spans="1:1" x14ac:dyDescent="0.25">
      <c r="A353">
        <v>1</v>
      </c>
    </row>
    <row r="354" spans="1:1" x14ac:dyDescent="0.25">
      <c r="A354">
        <v>5</v>
      </c>
    </row>
    <row r="355" spans="1:1" x14ac:dyDescent="0.25">
      <c r="A355">
        <v>1</v>
      </c>
    </row>
    <row r="356" spans="1:1" x14ac:dyDescent="0.25">
      <c r="A356">
        <v>2</v>
      </c>
    </row>
    <row r="357" spans="1:1" x14ac:dyDescent="0.25">
      <c r="A357">
        <v>1</v>
      </c>
    </row>
    <row r="358" spans="1:1" x14ac:dyDescent="0.25">
      <c r="A358">
        <v>2</v>
      </c>
    </row>
    <row r="359" spans="1:1" x14ac:dyDescent="0.25">
      <c r="A359">
        <v>1</v>
      </c>
    </row>
    <row r="360" spans="1:1" x14ac:dyDescent="0.25">
      <c r="A360">
        <v>8</v>
      </c>
    </row>
    <row r="361" spans="1:1" x14ac:dyDescent="0.25">
      <c r="A361">
        <v>2</v>
      </c>
    </row>
    <row r="362" spans="1:1" x14ac:dyDescent="0.25">
      <c r="A362">
        <v>1</v>
      </c>
    </row>
    <row r="363" spans="1:1" x14ac:dyDescent="0.25">
      <c r="A363">
        <v>1</v>
      </c>
    </row>
    <row r="364" spans="1:1" x14ac:dyDescent="0.25">
      <c r="A364">
        <v>1</v>
      </c>
    </row>
    <row r="365" spans="1:1" x14ac:dyDescent="0.25">
      <c r="A365">
        <v>1</v>
      </c>
    </row>
    <row r="366" spans="1:1" x14ac:dyDescent="0.25">
      <c r="A366">
        <v>1</v>
      </c>
    </row>
    <row r="367" spans="1:1" x14ac:dyDescent="0.25">
      <c r="A367">
        <v>1</v>
      </c>
    </row>
    <row r="368" spans="1:1" x14ac:dyDescent="0.25">
      <c r="A368">
        <v>1</v>
      </c>
    </row>
    <row r="369" spans="1:1" x14ac:dyDescent="0.25">
      <c r="A369">
        <v>1</v>
      </c>
    </row>
    <row r="370" spans="1:1" x14ac:dyDescent="0.25">
      <c r="A370">
        <v>1</v>
      </c>
    </row>
    <row r="371" spans="1:1" x14ac:dyDescent="0.25">
      <c r="A371">
        <v>3</v>
      </c>
    </row>
    <row r="372" spans="1:1" x14ac:dyDescent="0.25">
      <c r="A372">
        <v>1</v>
      </c>
    </row>
    <row r="373" spans="1:1" x14ac:dyDescent="0.25">
      <c r="A373">
        <v>5</v>
      </c>
    </row>
    <row r="374" spans="1:1" x14ac:dyDescent="0.25">
      <c r="A374">
        <v>1</v>
      </c>
    </row>
    <row r="375" spans="1:1" x14ac:dyDescent="0.25">
      <c r="A375">
        <v>1</v>
      </c>
    </row>
    <row r="376" spans="1:1" x14ac:dyDescent="0.25">
      <c r="A376">
        <v>2</v>
      </c>
    </row>
    <row r="377" spans="1:1" x14ac:dyDescent="0.25">
      <c r="A377">
        <v>1</v>
      </c>
    </row>
    <row r="378" spans="1:1" x14ac:dyDescent="0.25">
      <c r="A378">
        <v>6</v>
      </c>
    </row>
    <row r="379" spans="1:1" x14ac:dyDescent="0.25">
      <c r="A379">
        <v>1</v>
      </c>
    </row>
    <row r="380" spans="1:1" x14ac:dyDescent="0.25">
      <c r="A380">
        <v>1</v>
      </c>
    </row>
    <row r="381" spans="1:1" x14ac:dyDescent="0.25">
      <c r="A381">
        <v>2</v>
      </c>
    </row>
    <row r="382" spans="1:1" x14ac:dyDescent="0.25">
      <c r="A382">
        <v>1</v>
      </c>
    </row>
    <row r="383" spans="1:1" x14ac:dyDescent="0.25">
      <c r="A383">
        <v>2</v>
      </c>
    </row>
    <row r="384" spans="1:1" x14ac:dyDescent="0.25">
      <c r="A384">
        <v>7</v>
      </c>
    </row>
    <row r="385" spans="1:1" x14ac:dyDescent="0.25">
      <c r="A385">
        <v>1</v>
      </c>
    </row>
    <row r="386" spans="1:1" x14ac:dyDescent="0.25">
      <c r="A386">
        <v>1</v>
      </c>
    </row>
    <row r="387" spans="1:1" x14ac:dyDescent="0.25">
      <c r="A387">
        <v>1</v>
      </c>
    </row>
    <row r="388" spans="1:1" x14ac:dyDescent="0.25">
      <c r="A388">
        <v>4</v>
      </c>
    </row>
    <row r="389" spans="1:1" x14ac:dyDescent="0.25">
      <c r="A389">
        <v>4</v>
      </c>
    </row>
    <row r="390" spans="1:1" x14ac:dyDescent="0.25">
      <c r="A390">
        <v>4</v>
      </c>
    </row>
    <row r="391" spans="1:1" x14ac:dyDescent="0.25">
      <c r="A391">
        <v>4</v>
      </c>
    </row>
    <row r="392" spans="1:1" x14ac:dyDescent="0.25">
      <c r="A392">
        <v>1</v>
      </c>
    </row>
    <row r="393" spans="1:1" x14ac:dyDescent="0.25">
      <c r="A393">
        <v>1</v>
      </c>
    </row>
    <row r="394" spans="1:1" x14ac:dyDescent="0.25">
      <c r="A394">
        <v>2</v>
      </c>
    </row>
    <row r="395" spans="1:1" x14ac:dyDescent="0.25">
      <c r="A395">
        <v>1</v>
      </c>
    </row>
    <row r="396" spans="1:1" x14ac:dyDescent="0.25">
      <c r="A396">
        <v>2</v>
      </c>
    </row>
    <row r="397" spans="1:1" x14ac:dyDescent="0.25">
      <c r="A397">
        <v>4</v>
      </c>
    </row>
    <row r="398" spans="1:1" x14ac:dyDescent="0.25">
      <c r="A398">
        <v>1</v>
      </c>
    </row>
    <row r="399" spans="1:1" x14ac:dyDescent="0.25">
      <c r="A399">
        <v>7</v>
      </c>
    </row>
    <row r="400" spans="1:1" x14ac:dyDescent="0.25">
      <c r="A400">
        <v>1</v>
      </c>
    </row>
    <row r="401" spans="1:1" x14ac:dyDescent="0.25">
      <c r="A401">
        <v>5</v>
      </c>
    </row>
    <row r="402" spans="1:1" x14ac:dyDescent="0.25">
      <c r="A402">
        <v>1</v>
      </c>
    </row>
    <row r="403" spans="1:1" x14ac:dyDescent="0.25">
      <c r="A403">
        <v>1</v>
      </c>
    </row>
    <row r="404" spans="1:1" x14ac:dyDescent="0.25">
      <c r="A404">
        <v>4</v>
      </c>
    </row>
    <row r="405" spans="1:1" x14ac:dyDescent="0.25">
      <c r="A405">
        <v>1</v>
      </c>
    </row>
    <row r="406" spans="1:1" x14ac:dyDescent="0.25">
      <c r="A406">
        <v>1</v>
      </c>
    </row>
    <row r="407" spans="1:1" x14ac:dyDescent="0.25">
      <c r="A407">
        <v>1</v>
      </c>
    </row>
    <row r="408" spans="1:1" x14ac:dyDescent="0.25">
      <c r="A408">
        <v>5</v>
      </c>
    </row>
    <row r="409" spans="1:1" x14ac:dyDescent="0.25">
      <c r="A409">
        <v>1</v>
      </c>
    </row>
    <row r="410" spans="1:1" x14ac:dyDescent="0.25">
      <c r="A410">
        <v>1</v>
      </c>
    </row>
    <row r="411" spans="1:1" x14ac:dyDescent="0.25">
      <c r="A411">
        <v>1</v>
      </c>
    </row>
    <row r="412" spans="1:1" x14ac:dyDescent="0.25">
      <c r="A412">
        <v>1</v>
      </c>
    </row>
    <row r="413" spans="1:1" x14ac:dyDescent="0.25">
      <c r="A413">
        <v>5</v>
      </c>
    </row>
    <row r="414" spans="1:1" x14ac:dyDescent="0.25">
      <c r="A414">
        <v>2</v>
      </c>
    </row>
    <row r="415" spans="1:1" x14ac:dyDescent="0.25">
      <c r="A415">
        <v>1</v>
      </c>
    </row>
    <row r="416" spans="1:1" x14ac:dyDescent="0.25">
      <c r="A416">
        <v>1</v>
      </c>
    </row>
    <row r="417" spans="1:1" x14ac:dyDescent="0.25">
      <c r="A417">
        <v>2</v>
      </c>
    </row>
    <row r="418" spans="1:1" x14ac:dyDescent="0.25">
      <c r="A418">
        <v>1</v>
      </c>
    </row>
    <row r="419" spans="1:1" x14ac:dyDescent="0.25">
      <c r="A419">
        <v>1</v>
      </c>
    </row>
    <row r="420" spans="1:1" x14ac:dyDescent="0.25">
      <c r="A420">
        <v>1</v>
      </c>
    </row>
    <row r="421" spans="1:1" x14ac:dyDescent="0.25">
      <c r="A421">
        <v>2</v>
      </c>
    </row>
    <row r="422" spans="1:1" x14ac:dyDescent="0.25">
      <c r="A422">
        <v>1</v>
      </c>
    </row>
    <row r="423" spans="1:1" x14ac:dyDescent="0.25">
      <c r="A423">
        <v>1</v>
      </c>
    </row>
    <row r="424" spans="1:1" x14ac:dyDescent="0.25">
      <c r="A424">
        <v>1</v>
      </c>
    </row>
    <row r="425" spans="1:1" x14ac:dyDescent="0.25">
      <c r="A425">
        <v>7</v>
      </c>
    </row>
    <row r="426" spans="1:1" x14ac:dyDescent="0.25">
      <c r="A426">
        <v>1</v>
      </c>
    </row>
    <row r="427" spans="1:1" x14ac:dyDescent="0.25">
      <c r="A427">
        <v>1</v>
      </c>
    </row>
    <row r="428" spans="1:1" x14ac:dyDescent="0.25">
      <c r="A428">
        <v>3</v>
      </c>
    </row>
    <row r="429" spans="1:1" x14ac:dyDescent="0.25">
      <c r="A429">
        <v>2</v>
      </c>
    </row>
    <row r="430" spans="1:1" x14ac:dyDescent="0.25">
      <c r="A430">
        <v>1</v>
      </c>
    </row>
    <row r="431" spans="1:1" x14ac:dyDescent="0.25">
      <c r="A431">
        <v>6</v>
      </c>
    </row>
    <row r="432" spans="1:1" x14ac:dyDescent="0.25">
      <c r="A432">
        <v>7</v>
      </c>
    </row>
    <row r="433" spans="1:1" x14ac:dyDescent="0.25">
      <c r="A433">
        <v>7</v>
      </c>
    </row>
    <row r="434" spans="1:1" x14ac:dyDescent="0.25">
      <c r="A434">
        <v>6</v>
      </c>
    </row>
    <row r="435" spans="1:1" x14ac:dyDescent="0.25">
      <c r="A435">
        <v>1</v>
      </c>
    </row>
    <row r="436" spans="1:1" x14ac:dyDescent="0.25">
      <c r="A436">
        <v>1</v>
      </c>
    </row>
    <row r="437" spans="1:1" x14ac:dyDescent="0.25">
      <c r="A437">
        <v>1</v>
      </c>
    </row>
    <row r="438" spans="1:1" x14ac:dyDescent="0.25">
      <c r="A438">
        <v>1</v>
      </c>
    </row>
    <row r="439" spans="1:1" x14ac:dyDescent="0.25">
      <c r="A439">
        <v>1</v>
      </c>
    </row>
    <row r="440" spans="1:1" x14ac:dyDescent="0.25">
      <c r="A440">
        <v>2</v>
      </c>
    </row>
    <row r="441" spans="1:1" x14ac:dyDescent="0.25">
      <c r="A441">
        <v>5</v>
      </c>
    </row>
    <row r="442" spans="1:1" x14ac:dyDescent="0.25">
      <c r="A442">
        <v>1</v>
      </c>
    </row>
    <row r="443" spans="1:1" x14ac:dyDescent="0.25">
      <c r="A443">
        <v>1</v>
      </c>
    </row>
    <row r="444" spans="1:1" x14ac:dyDescent="0.25">
      <c r="A444">
        <v>1</v>
      </c>
    </row>
    <row r="445" spans="1:1" x14ac:dyDescent="0.25">
      <c r="A445">
        <v>2</v>
      </c>
    </row>
    <row r="446" spans="1:1" x14ac:dyDescent="0.25">
      <c r="A446">
        <v>2</v>
      </c>
    </row>
    <row r="447" spans="1:1" x14ac:dyDescent="0.25">
      <c r="A447">
        <v>1</v>
      </c>
    </row>
    <row r="448" spans="1:1" x14ac:dyDescent="0.25">
      <c r="A448">
        <v>7</v>
      </c>
    </row>
    <row r="449" spans="1:1" x14ac:dyDescent="0.25">
      <c r="A449">
        <v>1</v>
      </c>
    </row>
    <row r="450" spans="1:1" x14ac:dyDescent="0.25">
      <c r="A450">
        <v>1</v>
      </c>
    </row>
    <row r="451" spans="1:1" x14ac:dyDescent="0.25">
      <c r="A451">
        <v>5</v>
      </c>
    </row>
    <row r="452" spans="1:1" x14ac:dyDescent="0.25">
      <c r="A452">
        <v>8</v>
      </c>
    </row>
    <row r="453" spans="1:1" x14ac:dyDescent="0.25">
      <c r="A453">
        <v>6</v>
      </c>
    </row>
    <row r="454" spans="1:1" x14ac:dyDescent="0.25">
      <c r="A454">
        <v>1</v>
      </c>
    </row>
    <row r="455" spans="1:1" x14ac:dyDescent="0.25">
      <c r="A455">
        <v>1</v>
      </c>
    </row>
    <row r="456" spans="1:1" x14ac:dyDescent="0.25">
      <c r="A456">
        <v>6</v>
      </c>
    </row>
    <row r="457" spans="1:1" x14ac:dyDescent="0.25">
      <c r="A457">
        <v>5</v>
      </c>
    </row>
    <row r="458" spans="1:1" x14ac:dyDescent="0.25">
      <c r="A458">
        <v>1</v>
      </c>
    </row>
    <row r="459" spans="1:1" x14ac:dyDescent="0.25">
      <c r="A459">
        <v>1</v>
      </c>
    </row>
    <row r="460" spans="1:1" x14ac:dyDescent="0.25">
      <c r="A460">
        <v>5</v>
      </c>
    </row>
    <row r="461" spans="1:1" x14ac:dyDescent="0.25">
      <c r="A461">
        <v>5</v>
      </c>
    </row>
    <row r="462" spans="1:1" x14ac:dyDescent="0.25">
      <c r="A462">
        <v>1</v>
      </c>
    </row>
    <row r="463" spans="1:1" x14ac:dyDescent="0.25">
      <c r="A463">
        <v>6</v>
      </c>
    </row>
    <row r="464" spans="1:1" x14ac:dyDescent="0.25">
      <c r="A464">
        <v>2</v>
      </c>
    </row>
    <row r="465" spans="1:1" x14ac:dyDescent="0.25">
      <c r="A465">
        <v>4</v>
      </c>
    </row>
    <row r="466" spans="1:1" x14ac:dyDescent="0.25">
      <c r="A466">
        <v>7</v>
      </c>
    </row>
    <row r="467" spans="1:1" x14ac:dyDescent="0.25">
      <c r="A467">
        <v>1</v>
      </c>
    </row>
    <row r="468" spans="1:1" x14ac:dyDescent="0.25">
      <c r="A468">
        <v>4</v>
      </c>
    </row>
    <row r="469" spans="1:1" x14ac:dyDescent="0.25">
      <c r="A469">
        <v>5</v>
      </c>
    </row>
    <row r="470" spans="1:1" x14ac:dyDescent="0.25">
      <c r="A470">
        <v>2</v>
      </c>
    </row>
    <row r="471" spans="1:1" x14ac:dyDescent="0.25">
      <c r="A471">
        <v>1</v>
      </c>
    </row>
    <row r="472" spans="1:1" x14ac:dyDescent="0.25">
      <c r="A472">
        <v>5</v>
      </c>
    </row>
    <row r="473" spans="1:1" x14ac:dyDescent="0.25">
      <c r="A473">
        <v>7</v>
      </c>
    </row>
    <row r="474" spans="1:1" x14ac:dyDescent="0.25">
      <c r="A474">
        <v>1</v>
      </c>
    </row>
    <row r="475" spans="1:1" x14ac:dyDescent="0.25">
      <c r="A475">
        <v>4</v>
      </c>
    </row>
    <row r="476" spans="1:1" x14ac:dyDescent="0.25">
      <c r="A476">
        <v>1</v>
      </c>
    </row>
    <row r="477" spans="1:1" x14ac:dyDescent="0.25">
      <c r="A477">
        <v>1</v>
      </c>
    </row>
    <row r="478" spans="1:1" x14ac:dyDescent="0.25">
      <c r="A478">
        <v>5</v>
      </c>
    </row>
    <row r="479" spans="1:1" x14ac:dyDescent="0.25">
      <c r="A479">
        <v>1</v>
      </c>
    </row>
    <row r="480" spans="1:1" x14ac:dyDescent="0.25">
      <c r="A480">
        <v>1</v>
      </c>
    </row>
    <row r="481" spans="1:1" x14ac:dyDescent="0.25">
      <c r="A481">
        <v>1</v>
      </c>
    </row>
    <row r="482" spans="1:1" x14ac:dyDescent="0.25">
      <c r="A482">
        <v>1</v>
      </c>
    </row>
    <row r="483" spans="1:1" x14ac:dyDescent="0.25">
      <c r="A483">
        <v>4</v>
      </c>
    </row>
    <row r="484" spans="1:1" x14ac:dyDescent="0.25">
      <c r="A484">
        <v>4</v>
      </c>
    </row>
    <row r="485" spans="1:1" x14ac:dyDescent="0.25">
      <c r="A485">
        <v>1</v>
      </c>
    </row>
    <row r="486" spans="1:1" x14ac:dyDescent="0.25">
      <c r="A486">
        <v>1</v>
      </c>
    </row>
    <row r="487" spans="1:1" x14ac:dyDescent="0.25">
      <c r="A487">
        <v>1</v>
      </c>
    </row>
    <row r="488" spans="1:1" x14ac:dyDescent="0.25">
      <c r="A488">
        <v>1</v>
      </c>
    </row>
    <row r="489" spans="1:1" x14ac:dyDescent="0.25">
      <c r="A489">
        <v>1</v>
      </c>
    </row>
    <row r="490" spans="1:1" x14ac:dyDescent="0.25">
      <c r="A490">
        <v>1</v>
      </c>
    </row>
    <row r="491" spans="1:1" x14ac:dyDescent="0.25">
      <c r="A491">
        <v>1</v>
      </c>
    </row>
    <row r="492" spans="1:1" x14ac:dyDescent="0.25">
      <c r="A492">
        <v>1</v>
      </c>
    </row>
    <row r="493" spans="1:1" x14ac:dyDescent="0.25">
      <c r="A493">
        <v>7</v>
      </c>
    </row>
    <row r="494" spans="1:1" x14ac:dyDescent="0.25">
      <c r="A494">
        <v>5</v>
      </c>
    </row>
    <row r="495" spans="1:1" x14ac:dyDescent="0.25">
      <c r="A495">
        <v>1</v>
      </c>
    </row>
    <row r="496" spans="1:1" x14ac:dyDescent="0.25">
      <c r="A496">
        <v>2</v>
      </c>
    </row>
    <row r="497" spans="1:1" x14ac:dyDescent="0.25">
      <c r="A497">
        <v>1</v>
      </c>
    </row>
    <row r="498" spans="1:1" x14ac:dyDescent="0.25">
      <c r="A498">
        <v>5</v>
      </c>
    </row>
    <row r="499" spans="1:1" x14ac:dyDescent="0.25">
      <c r="A499">
        <v>1</v>
      </c>
    </row>
    <row r="500" spans="1:1" x14ac:dyDescent="0.25">
      <c r="A500">
        <v>1</v>
      </c>
    </row>
    <row r="501" spans="1:1" x14ac:dyDescent="0.25">
      <c r="A501">
        <v>5</v>
      </c>
    </row>
    <row r="502" spans="1:1" x14ac:dyDescent="0.25">
      <c r="A502">
        <v>5</v>
      </c>
    </row>
    <row r="503" spans="1:1" x14ac:dyDescent="0.25">
      <c r="A503">
        <v>1</v>
      </c>
    </row>
    <row r="504" spans="1:1" x14ac:dyDescent="0.25">
      <c r="A504">
        <v>1</v>
      </c>
    </row>
    <row r="505" spans="1:1" x14ac:dyDescent="0.25">
      <c r="A505">
        <v>2</v>
      </c>
    </row>
    <row r="506" spans="1:1" x14ac:dyDescent="0.25">
      <c r="A506">
        <v>1</v>
      </c>
    </row>
    <row r="507" spans="1:1" x14ac:dyDescent="0.25">
      <c r="A507">
        <v>7</v>
      </c>
    </row>
    <row r="508" spans="1:1" x14ac:dyDescent="0.25">
      <c r="A508">
        <v>5</v>
      </c>
    </row>
    <row r="509" spans="1:1" x14ac:dyDescent="0.25">
      <c r="A509">
        <v>1</v>
      </c>
    </row>
    <row r="510" spans="1:1" x14ac:dyDescent="0.25">
      <c r="A510">
        <v>1</v>
      </c>
    </row>
    <row r="511" spans="1:1" x14ac:dyDescent="0.25">
      <c r="A511">
        <v>1</v>
      </c>
    </row>
    <row r="512" spans="1:1" x14ac:dyDescent="0.25">
      <c r="A512">
        <v>1</v>
      </c>
    </row>
    <row r="513" spans="1:1" x14ac:dyDescent="0.25">
      <c r="A513">
        <v>5</v>
      </c>
    </row>
    <row r="514" spans="1:1" x14ac:dyDescent="0.25">
      <c r="A514">
        <v>1</v>
      </c>
    </row>
    <row r="515" spans="1:1" x14ac:dyDescent="0.25">
      <c r="A515">
        <v>7</v>
      </c>
    </row>
    <row r="516" spans="1:1" x14ac:dyDescent="0.25">
      <c r="A516">
        <v>1</v>
      </c>
    </row>
    <row r="517" spans="1:1" x14ac:dyDescent="0.25">
      <c r="A517">
        <v>5</v>
      </c>
    </row>
    <row r="518" spans="1:1" x14ac:dyDescent="0.25">
      <c r="A518">
        <v>1</v>
      </c>
    </row>
    <row r="519" spans="1:1" x14ac:dyDescent="0.25">
      <c r="A519">
        <v>5</v>
      </c>
    </row>
    <row r="520" spans="1:1" x14ac:dyDescent="0.25">
      <c r="A520">
        <v>1</v>
      </c>
    </row>
    <row r="521" spans="1:1" x14ac:dyDescent="0.25">
      <c r="A521">
        <v>1</v>
      </c>
    </row>
    <row r="522" spans="1:1" x14ac:dyDescent="0.25">
      <c r="A522">
        <v>1</v>
      </c>
    </row>
    <row r="523" spans="1:1" x14ac:dyDescent="0.25">
      <c r="A523">
        <v>5</v>
      </c>
    </row>
    <row r="524" spans="1:1" x14ac:dyDescent="0.25">
      <c r="A524">
        <v>4</v>
      </c>
    </row>
    <row r="525" spans="1:1" x14ac:dyDescent="0.25">
      <c r="A525">
        <v>1</v>
      </c>
    </row>
    <row r="526" spans="1:1" x14ac:dyDescent="0.25">
      <c r="A526">
        <v>1</v>
      </c>
    </row>
    <row r="527" spans="1:1" x14ac:dyDescent="0.25">
      <c r="A527">
        <v>6</v>
      </c>
    </row>
    <row r="528" spans="1:1" x14ac:dyDescent="0.25">
      <c r="A528">
        <v>1</v>
      </c>
    </row>
    <row r="529" spans="1:1" x14ac:dyDescent="0.25">
      <c r="A529">
        <v>1</v>
      </c>
    </row>
    <row r="530" spans="1:1" x14ac:dyDescent="0.25">
      <c r="A530">
        <v>1</v>
      </c>
    </row>
    <row r="531" spans="1:1" x14ac:dyDescent="0.25">
      <c r="A531">
        <v>1</v>
      </c>
    </row>
    <row r="532" spans="1:1" x14ac:dyDescent="0.25">
      <c r="A532">
        <v>2</v>
      </c>
    </row>
    <row r="533" spans="1:1" x14ac:dyDescent="0.25">
      <c r="A533">
        <v>6</v>
      </c>
    </row>
    <row r="534" spans="1:1" x14ac:dyDescent="0.25">
      <c r="A534">
        <v>1</v>
      </c>
    </row>
    <row r="535" spans="1:1" x14ac:dyDescent="0.25">
      <c r="A535">
        <v>1</v>
      </c>
    </row>
    <row r="536" spans="1:1" x14ac:dyDescent="0.25">
      <c r="A536">
        <v>2</v>
      </c>
    </row>
    <row r="537" spans="1:1" x14ac:dyDescent="0.25">
      <c r="A537">
        <v>2</v>
      </c>
    </row>
    <row r="538" spans="1:1" x14ac:dyDescent="0.25">
      <c r="A538">
        <v>1</v>
      </c>
    </row>
    <row r="539" spans="1:1" x14ac:dyDescent="0.25">
      <c r="A539">
        <v>1</v>
      </c>
    </row>
    <row r="540" spans="1:1" x14ac:dyDescent="0.25">
      <c r="A540">
        <v>5</v>
      </c>
    </row>
    <row r="541" spans="1:1" x14ac:dyDescent="0.25">
      <c r="A541">
        <v>1</v>
      </c>
    </row>
    <row r="542" spans="1:1" x14ac:dyDescent="0.25">
      <c r="A542">
        <v>5</v>
      </c>
    </row>
    <row r="543" spans="1:1" x14ac:dyDescent="0.25">
      <c r="A543">
        <v>5</v>
      </c>
    </row>
    <row r="544" spans="1:1" x14ac:dyDescent="0.25">
      <c r="A544">
        <v>1</v>
      </c>
    </row>
    <row r="545" spans="1:1" x14ac:dyDescent="0.25">
      <c r="A545">
        <v>1</v>
      </c>
    </row>
    <row r="546" spans="1:1" x14ac:dyDescent="0.25">
      <c r="A546">
        <v>5</v>
      </c>
    </row>
    <row r="547" spans="1:1" x14ac:dyDescent="0.25">
      <c r="A547">
        <v>2</v>
      </c>
    </row>
    <row r="548" spans="1:1" x14ac:dyDescent="0.25">
      <c r="A548">
        <v>5</v>
      </c>
    </row>
    <row r="549" spans="1:1" x14ac:dyDescent="0.25">
      <c r="A549">
        <v>2</v>
      </c>
    </row>
    <row r="550" spans="1:1" x14ac:dyDescent="0.25">
      <c r="A550">
        <v>5</v>
      </c>
    </row>
    <row r="551" spans="1:1" x14ac:dyDescent="0.25">
      <c r="A551">
        <v>2</v>
      </c>
    </row>
    <row r="552" spans="1:1" x14ac:dyDescent="0.25">
      <c r="A552">
        <v>1</v>
      </c>
    </row>
    <row r="553" spans="1:1" x14ac:dyDescent="0.25">
      <c r="A553">
        <v>7</v>
      </c>
    </row>
    <row r="554" spans="1:1" x14ac:dyDescent="0.25">
      <c r="A554">
        <v>5</v>
      </c>
    </row>
    <row r="555" spans="1:1" x14ac:dyDescent="0.25">
      <c r="A555">
        <v>1</v>
      </c>
    </row>
    <row r="556" spans="1:1" x14ac:dyDescent="0.25">
      <c r="A556">
        <v>1</v>
      </c>
    </row>
    <row r="557" spans="1:1" x14ac:dyDescent="0.25">
      <c r="A557">
        <v>7</v>
      </c>
    </row>
    <row r="558" spans="1:1" x14ac:dyDescent="0.25">
      <c r="A558">
        <v>7</v>
      </c>
    </row>
    <row r="559" spans="1:1" x14ac:dyDescent="0.25">
      <c r="A559">
        <v>7</v>
      </c>
    </row>
    <row r="560" spans="1:1" x14ac:dyDescent="0.25">
      <c r="A560">
        <v>1</v>
      </c>
    </row>
    <row r="561" spans="1:1" x14ac:dyDescent="0.25">
      <c r="A561">
        <v>1</v>
      </c>
    </row>
    <row r="562" spans="1:1" x14ac:dyDescent="0.25">
      <c r="A562">
        <v>5</v>
      </c>
    </row>
    <row r="563" spans="1:1" x14ac:dyDescent="0.25">
      <c r="A563">
        <v>5</v>
      </c>
    </row>
    <row r="564" spans="1:1" x14ac:dyDescent="0.25">
      <c r="A564">
        <v>1</v>
      </c>
    </row>
    <row r="565" spans="1:1" x14ac:dyDescent="0.25">
      <c r="A565">
        <v>5</v>
      </c>
    </row>
    <row r="566" spans="1:1" x14ac:dyDescent="0.25">
      <c r="A566">
        <v>5</v>
      </c>
    </row>
    <row r="567" spans="1:1" x14ac:dyDescent="0.25">
      <c r="A567">
        <v>1</v>
      </c>
    </row>
    <row r="568" spans="1:1" x14ac:dyDescent="0.25">
      <c r="A568">
        <v>7</v>
      </c>
    </row>
    <row r="569" spans="1:1" x14ac:dyDescent="0.25">
      <c r="A569">
        <v>2</v>
      </c>
    </row>
    <row r="570" spans="1:1" x14ac:dyDescent="0.25">
      <c r="A570">
        <v>2</v>
      </c>
    </row>
    <row r="571" spans="1:1" x14ac:dyDescent="0.25">
      <c r="A571">
        <v>5</v>
      </c>
    </row>
    <row r="572" spans="1:1" x14ac:dyDescent="0.25">
      <c r="A572">
        <v>1</v>
      </c>
    </row>
    <row r="573" spans="1:1" x14ac:dyDescent="0.25">
      <c r="A573">
        <v>1</v>
      </c>
    </row>
    <row r="574" spans="1:1" x14ac:dyDescent="0.25">
      <c r="A574">
        <v>1</v>
      </c>
    </row>
    <row r="575" spans="1:1" x14ac:dyDescent="0.25">
      <c r="A575">
        <v>7</v>
      </c>
    </row>
    <row r="576" spans="1:1" x14ac:dyDescent="0.25">
      <c r="A576">
        <v>5</v>
      </c>
    </row>
    <row r="577" spans="1:1" x14ac:dyDescent="0.25">
      <c r="A577">
        <v>1</v>
      </c>
    </row>
    <row r="578" spans="1:1" x14ac:dyDescent="0.25">
      <c r="A578">
        <v>1</v>
      </c>
    </row>
    <row r="579" spans="1:1" x14ac:dyDescent="0.25">
      <c r="A579">
        <v>7</v>
      </c>
    </row>
    <row r="580" spans="1:1" x14ac:dyDescent="0.25">
      <c r="A580">
        <v>2</v>
      </c>
    </row>
    <row r="581" spans="1:1" x14ac:dyDescent="0.25">
      <c r="A581">
        <v>5</v>
      </c>
    </row>
    <row r="582" spans="1:1" x14ac:dyDescent="0.25">
      <c r="A582">
        <v>5</v>
      </c>
    </row>
    <row r="583" spans="1:1" x14ac:dyDescent="0.25">
      <c r="A583">
        <v>1</v>
      </c>
    </row>
    <row r="584" spans="1:1" x14ac:dyDescent="0.25">
      <c r="A584">
        <v>1</v>
      </c>
    </row>
    <row r="585" spans="1:1" x14ac:dyDescent="0.25">
      <c r="A585">
        <v>1</v>
      </c>
    </row>
    <row r="586" spans="1:1" x14ac:dyDescent="0.25">
      <c r="A586">
        <v>1</v>
      </c>
    </row>
    <row r="587" spans="1:1" x14ac:dyDescent="0.25">
      <c r="A587">
        <v>1</v>
      </c>
    </row>
    <row r="588" spans="1:1" x14ac:dyDescent="0.25">
      <c r="A588">
        <v>1</v>
      </c>
    </row>
    <row r="589" spans="1:1" x14ac:dyDescent="0.25">
      <c r="A589">
        <v>7</v>
      </c>
    </row>
    <row r="590" spans="1:1" x14ac:dyDescent="0.25">
      <c r="A590">
        <v>6</v>
      </c>
    </row>
    <row r="591" spans="1:1" x14ac:dyDescent="0.25">
      <c r="A591">
        <v>1</v>
      </c>
    </row>
    <row r="592" spans="1:1" x14ac:dyDescent="0.25">
      <c r="A592">
        <v>1</v>
      </c>
    </row>
    <row r="593" spans="1:1" x14ac:dyDescent="0.25">
      <c r="A593">
        <v>5</v>
      </c>
    </row>
    <row r="594" spans="1:1" x14ac:dyDescent="0.25">
      <c r="A594">
        <v>3</v>
      </c>
    </row>
    <row r="595" spans="1:1" x14ac:dyDescent="0.25">
      <c r="A595">
        <v>5</v>
      </c>
    </row>
    <row r="596" spans="1:1" x14ac:dyDescent="0.25">
      <c r="A596">
        <v>2</v>
      </c>
    </row>
    <row r="597" spans="1:1" x14ac:dyDescent="0.25">
      <c r="A597">
        <v>5</v>
      </c>
    </row>
    <row r="598" spans="1:1" x14ac:dyDescent="0.25">
      <c r="A598">
        <v>5</v>
      </c>
    </row>
    <row r="599" spans="1:1" x14ac:dyDescent="0.25">
      <c r="A599">
        <v>5</v>
      </c>
    </row>
    <row r="600" spans="1:1" x14ac:dyDescent="0.25">
      <c r="A600">
        <v>1</v>
      </c>
    </row>
    <row r="601" spans="1:1" x14ac:dyDescent="0.25">
      <c r="A601">
        <v>7</v>
      </c>
    </row>
    <row r="602" spans="1:1" x14ac:dyDescent="0.25">
      <c r="A602">
        <v>1</v>
      </c>
    </row>
    <row r="603" spans="1:1" x14ac:dyDescent="0.25">
      <c r="A603">
        <v>4</v>
      </c>
    </row>
    <row r="604" spans="1:1" x14ac:dyDescent="0.25">
      <c r="A604">
        <v>2</v>
      </c>
    </row>
    <row r="605" spans="1:1" x14ac:dyDescent="0.25">
      <c r="A605">
        <v>1</v>
      </c>
    </row>
    <row r="606" spans="1:1" x14ac:dyDescent="0.25">
      <c r="A606">
        <v>2</v>
      </c>
    </row>
    <row r="607" spans="1:1" x14ac:dyDescent="0.25">
      <c r="A607">
        <v>7</v>
      </c>
    </row>
    <row r="608" spans="1:1" x14ac:dyDescent="0.25">
      <c r="A608">
        <v>5</v>
      </c>
    </row>
    <row r="609" spans="1:1" x14ac:dyDescent="0.25">
      <c r="A609">
        <v>5</v>
      </c>
    </row>
    <row r="610" spans="1:1" x14ac:dyDescent="0.25">
      <c r="A610">
        <v>5</v>
      </c>
    </row>
    <row r="611" spans="1:1" x14ac:dyDescent="0.25">
      <c r="A611">
        <v>1</v>
      </c>
    </row>
    <row r="612" spans="1:1" x14ac:dyDescent="0.25">
      <c r="A612">
        <v>1</v>
      </c>
    </row>
    <row r="613" spans="1:1" x14ac:dyDescent="0.25">
      <c r="A613">
        <v>1</v>
      </c>
    </row>
    <row r="614" spans="1:1" x14ac:dyDescent="0.25">
      <c r="A614">
        <v>7</v>
      </c>
    </row>
    <row r="615" spans="1:1" x14ac:dyDescent="0.25">
      <c r="A615">
        <v>1</v>
      </c>
    </row>
    <row r="616" spans="1:1" x14ac:dyDescent="0.25">
      <c r="A616">
        <v>1</v>
      </c>
    </row>
    <row r="617" spans="1:1" x14ac:dyDescent="0.25">
      <c r="A617">
        <v>1</v>
      </c>
    </row>
    <row r="618" spans="1:1" x14ac:dyDescent="0.25">
      <c r="A618">
        <v>7</v>
      </c>
    </row>
    <row r="619" spans="1:1" x14ac:dyDescent="0.25">
      <c r="A619">
        <v>1</v>
      </c>
    </row>
    <row r="620" spans="1:1" x14ac:dyDescent="0.25">
      <c r="A620">
        <v>1</v>
      </c>
    </row>
    <row r="621" spans="1:1" x14ac:dyDescent="0.25">
      <c r="A621">
        <v>5</v>
      </c>
    </row>
    <row r="622" spans="1:1" x14ac:dyDescent="0.25">
      <c r="A622">
        <v>5</v>
      </c>
    </row>
    <row r="623" spans="1:1" x14ac:dyDescent="0.25">
      <c r="A623">
        <v>7</v>
      </c>
    </row>
    <row r="624" spans="1:1" x14ac:dyDescent="0.25">
      <c r="A624">
        <v>7</v>
      </c>
    </row>
    <row r="625" spans="1:1" x14ac:dyDescent="0.25">
      <c r="A625">
        <v>1</v>
      </c>
    </row>
    <row r="626" spans="1:1" x14ac:dyDescent="0.25">
      <c r="A626">
        <v>1</v>
      </c>
    </row>
    <row r="627" spans="1:1" x14ac:dyDescent="0.25">
      <c r="A627">
        <v>1</v>
      </c>
    </row>
    <row r="628" spans="1:1" x14ac:dyDescent="0.25">
      <c r="A628">
        <v>5</v>
      </c>
    </row>
    <row r="629" spans="1:1" x14ac:dyDescent="0.25">
      <c r="A629">
        <v>8</v>
      </c>
    </row>
    <row r="630" spans="1:1" x14ac:dyDescent="0.25">
      <c r="A630">
        <v>2</v>
      </c>
    </row>
    <row r="631" spans="1:1" x14ac:dyDescent="0.25">
      <c r="A631">
        <v>6</v>
      </c>
    </row>
    <row r="632" spans="1:1" x14ac:dyDescent="0.25">
      <c r="A632">
        <v>1</v>
      </c>
    </row>
    <row r="633" spans="1:1" x14ac:dyDescent="0.25">
      <c r="A633">
        <v>1</v>
      </c>
    </row>
    <row r="634" spans="1:1" x14ac:dyDescent="0.25">
      <c r="A634">
        <v>5</v>
      </c>
    </row>
    <row r="635" spans="1:1" x14ac:dyDescent="0.25">
      <c r="A635">
        <v>5</v>
      </c>
    </row>
    <row r="636" spans="1:1" x14ac:dyDescent="0.25">
      <c r="A636">
        <v>2</v>
      </c>
    </row>
    <row r="637" spans="1:1" x14ac:dyDescent="0.25">
      <c r="A637">
        <v>4</v>
      </c>
    </row>
    <row r="638" spans="1:1" x14ac:dyDescent="0.25">
      <c r="A638">
        <v>8</v>
      </c>
    </row>
    <row r="639" spans="1:1" x14ac:dyDescent="0.25">
      <c r="A639">
        <v>4</v>
      </c>
    </row>
    <row r="640" spans="1:1" x14ac:dyDescent="0.25">
      <c r="A640">
        <v>8</v>
      </c>
    </row>
    <row r="641" spans="1:1" x14ac:dyDescent="0.25">
      <c r="A641">
        <v>4</v>
      </c>
    </row>
    <row r="642" spans="1:1" x14ac:dyDescent="0.25">
      <c r="A642">
        <v>2</v>
      </c>
    </row>
    <row r="643" spans="1:1" x14ac:dyDescent="0.25">
      <c r="A643">
        <v>1</v>
      </c>
    </row>
    <row r="644" spans="1:1" x14ac:dyDescent="0.25">
      <c r="A644">
        <v>7</v>
      </c>
    </row>
    <row r="645" spans="1:1" x14ac:dyDescent="0.25">
      <c r="A645">
        <v>5</v>
      </c>
    </row>
    <row r="646" spans="1:1" x14ac:dyDescent="0.25">
      <c r="A646">
        <v>1</v>
      </c>
    </row>
    <row r="647" spans="1:1" x14ac:dyDescent="0.25">
      <c r="A647">
        <v>7</v>
      </c>
    </row>
    <row r="648" spans="1:1" x14ac:dyDescent="0.25">
      <c r="A648">
        <v>1</v>
      </c>
    </row>
    <row r="649" spans="1:1" x14ac:dyDescent="0.25">
      <c r="A649">
        <v>1</v>
      </c>
    </row>
    <row r="650" spans="1:1" x14ac:dyDescent="0.25">
      <c r="A650">
        <v>1</v>
      </c>
    </row>
    <row r="651" spans="1:1" x14ac:dyDescent="0.25">
      <c r="A651">
        <v>7</v>
      </c>
    </row>
    <row r="652" spans="1:1" x14ac:dyDescent="0.25">
      <c r="A652">
        <v>1</v>
      </c>
    </row>
    <row r="653" spans="1:1" x14ac:dyDescent="0.25">
      <c r="A653">
        <v>1</v>
      </c>
    </row>
    <row r="654" spans="1:1" x14ac:dyDescent="0.25">
      <c r="A654">
        <v>1</v>
      </c>
    </row>
    <row r="655" spans="1:1" x14ac:dyDescent="0.25">
      <c r="A655">
        <v>4</v>
      </c>
    </row>
    <row r="656" spans="1:1" x14ac:dyDescent="0.25">
      <c r="A656">
        <v>8</v>
      </c>
    </row>
    <row r="657" spans="1:1" x14ac:dyDescent="0.25">
      <c r="A657">
        <v>2</v>
      </c>
    </row>
    <row r="658" spans="1:1" x14ac:dyDescent="0.25">
      <c r="A658">
        <v>1</v>
      </c>
    </row>
    <row r="659" spans="1:1" x14ac:dyDescent="0.25">
      <c r="A659">
        <v>2</v>
      </c>
    </row>
    <row r="660" spans="1:1" x14ac:dyDescent="0.25">
      <c r="A660">
        <v>1</v>
      </c>
    </row>
    <row r="661" spans="1:1" x14ac:dyDescent="0.25">
      <c r="A661">
        <v>5</v>
      </c>
    </row>
    <row r="662" spans="1:1" x14ac:dyDescent="0.25">
      <c r="A662">
        <v>1</v>
      </c>
    </row>
    <row r="663" spans="1:1" x14ac:dyDescent="0.25">
      <c r="A663">
        <v>1</v>
      </c>
    </row>
    <row r="664" spans="1:1" x14ac:dyDescent="0.25">
      <c r="A664">
        <v>5</v>
      </c>
    </row>
    <row r="665" spans="1:1" x14ac:dyDescent="0.25">
      <c r="A665">
        <v>7</v>
      </c>
    </row>
    <row r="666" spans="1:1" x14ac:dyDescent="0.25">
      <c r="A666">
        <v>1</v>
      </c>
    </row>
    <row r="667" spans="1:1" x14ac:dyDescent="0.25">
      <c r="A667">
        <v>1</v>
      </c>
    </row>
    <row r="668" spans="1:1" x14ac:dyDescent="0.25">
      <c r="A668">
        <v>1</v>
      </c>
    </row>
    <row r="669" spans="1:1" x14ac:dyDescent="0.25">
      <c r="A669">
        <v>1</v>
      </c>
    </row>
    <row r="670" spans="1:1" x14ac:dyDescent="0.25">
      <c r="A670">
        <v>5</v>
      </c>
    </row>
    <row r="671" spans="1:1" x14ac:dyDescent="0.25">
      <c r="A671">
        <v>1</v>
      </c>
    </row>
    <row r="672" spans="1:1" x14ac:dyDescent="0.25">
      <c r="A672">
        <v>1</v>
      </c>
    </row>
    <row r="673" spans="1:1" x14ac:dyDescent="0.25">
      <c r="A673">
        <v>1</v>
      </c>
    </row>
    <row r="674" spans="1:1" x14ac:dyDescent="0.25">
      <c r="A674">
        <v>1</v>
      </c>
    </row>
    <row r="675" spans="1:1" x14ac:dyDescent="0.25">
      <c r="A675">
        <v>1</v>
      </c>
    </row>
    <row r="676" spans="1:1" x14ac:dyDescent="0.25">
      <c r="A676">
        <v>1</v>
      </c>
    </row>
    <row r="677" spans="1:1" x14ac:dyDescent="0.25">
      <c r="A677">
        <v>7</v>
      </c>
    </row>
    <row r="678" spans="1:1" x14ac:dyDescent="0.25">
      <c r="A678">
        <v>1</v>
      </c>
    </row>
    <row r="679" spans="1:1" x14ac:dyDescent="0.25">
      <c r="A679">
        <v>1</v>
      </c>
    </row>
    <row r="680" spans="1:1" x14ac:dyDescent="0.25">
      <c r="A680">
        <v>6</v>
      </c>
    </row>
    <row r="681" spans="1:1" x14ac:dyDescent="0.25">
      <c r="A681">
        <v>1</v>
      </c>
    </row>
    <row r="682" spans="1:1" x14ac:dyDescent="0.25">
      <c r="A682">
        <v>1</v>
      </c>
    </row>
    <row r="683" spans="1:1" x14ac:dyDescent="0.25">
      <c r="A683">
        <v>7</v>
      </c>
    </row>
    <row r="684" spans="1:1" x14ac:dyDescent="0.25">
      <c r="A684">
        <v>1</v>
      </c>
    </row>
    <row r="685" spans="1:1" x14ac:dyDescent="0.25">
      <c r="A685">
        <v>1</v>
      </c>
    </row>
    <row r="686" spans="1:1" x14ac:dyDescent="0.25">
      <c r="A686">
        <v>1</v>
      </c>
    </row>
    <row r="687" spans="1:1" x14ac:dyDescent="0.25">
      <c r="A687">
        <v>2</v>
      </c>
    </row>
    <row r="688" spans="1:1" x14ac:dyDescent="0.25">
      <c r="A688">
        <v>1</v>
      </c>
    </row>
    <row r="689" spans="1:1" x14ac:dyDescent="0.25">
      <c r="A689">
        <v>4</v>
      </c>
    </row>
    <row r="690" spans="1:1" x14ac:dyDescent="0.25">
      <c r="A690">
        <v>1</v>
      </c>
    </row>
    <row r="691" spans="1:1" x14ac:dyDescent="0.25">
      <c r="A691">
        <v>2</v>
      </c>
    </row>
    <row r="692" spans="1:1" x14ac:dyDescent="0.25">
      <c r="A692">
        <v>7</v>
      </c>
    </row>
    <row r="693" spans="1:1" x14ac:dyDescent="0.25">
      <c r="A693">
        <v>7</v>
      </c>
    </row>
    <row r="694" spans="1:1" x14ac:dyDescent="0.25">
      <c r="A694">
        <v>5</v>
      </c>
    </row>
    <row r="695" spans="1:1" x14ac:dyDescent="0.25">
      <c r="A695">
        <v>1</v>
      </c>
    </row>
    <row r="696" spans="1:1" x14ac:dyDescent="0.25">
      <c r="A696">
        <v>1</v>
      </c>
    </row>
    <row r="697" spans="1:1" x14ac:dyDescent="0.25">
      <c r="A697">
        <v>1</v>
      </c>
    </row>
    <row r="698" spans="1:1" x14ac:dyDescent="0.25">
      <c r="A698">
        <v>1</v>
      </c>
    </row>
    <row r="699" spans="1:1" x14ac:dyDescent="0.25">
      <c r="A699">
        <v>7</v>
      </c>
    </row>
    <row r="700" spans="1:1" x14ac:dyDescent="0.25">
      <c r="A700">
        <v>7</v>
      </c>
    </row>
    <row r="701" spans="1:1" x14ac:dyDescent="0.25">
      <c r="A701">
        <v>1</v>
      </c>
    </row>
    <row r="702" spans="1:1" x14ac:dyDescent="0.25">
      <c r="A702">
        <v>5</v>
      </c>
    </row>
    <row r="703" spans="1:1" x14ac:dyDescent="0.25">
      <c r="A703">
        <v>1</v>
      </c>
    </row>
    <row r="704" spans="1:1" x14ac:dyDescent="0.25">
      <c r="A704">
        <v>1</v>
      </c>
    </row>
    <row r="705" spans="1:1" x14ac:dyDescent="0.25">
      <c r="A705">
        <v>1</v>
      </c>
    </row>
    <row r="706" spans="1:1" x14ac:dyDescent="0.25">
      <c r="A706">
        <v>1</v>
      </c>
    </row>
    <row r="707" spans="1:1" x14ac:dyDescent="0.25">
      <c r="A707">
        <v>1</v>
      </c>
    </row>
    <row r="708" spans="1:1" x14ac:dyDescent="0.25">
      <c r="A708">
        <v>5</v>
      </c>
    </row>
    <row r="709" spans="1:1" x14ac:dyDescent="0.25">
      <c r="A709">
        <v>1</v>
      </c>
    </row>
    <row r="710" spans="1:1" x14ac:dyDescent="0.25">
      <c r="A710">
        <v>2</v>
      </c>
    </row>
    <row r="711" spans="1:1" x14ac:dyDescent="0.25">
      <c r="A711">
        <v>2</v>
      </c>
    </row>
    <row r="712" spans="1:1" x14ac:dyDescent="0.25">
      <c r="A712">
        <v>2</v>
      </c>
    </row>
    <row r="713" spans="1:1" x14ac:dyDescent="0.25">
      <c r="A713">
        <v>8</v>
      </c>
    </row>
    <row r="714" spans="1:1" x14ac:dyDescent="0.25">
      <c r="A714">
        <v>1</v>
      </c>
    </row>
    <row r="715" spans="1:1" x14ac:dyDescent="0.25">
      <c r="A715">
        <v>2</v>
      </c>
    </row>
    <row r="716" spans="1:1" x14ac:dyDescent="0.25">
      <c r="A716">
        <v>5</v>
      </c>
    </row>
    <row r="717" spans="1:1" x14ac:dyDescent="0.25">
      <c r="A717">
        <v>7</v>
      </c>
    </row>
    <row r="718" spans="1:1" x14ac:dyDescent="0.25">
      <c r="A718">
        <v>2</v>
      </c>
    </row>
    <row r="719" spans="1:1" x14ac:dyDescent="0.25">
      <c r="A719">
        <v>1</v>
      </c>
    </row>
    <row r="720" spans="1:1" x14ac:dyDescent="0.25">
      <c r="A720">
        <v>1</v>
      </c>
    </row>
    <row r="721" spans="1:1" x14ac:dyDescent="0.25">
      <c r="A721">
        <v>7</v>
      </c>
    </row>
    <row r="722" spans="1:1" x14ac:dyDescent="0.25">
      <c r="A722">
        <v>1</v>
      </c>
    </row>
    <row r="723" spans="1:1" x14ac:dyDescent="0.25">
      <c r="A723">
        <v>1</v>
      </c>
    </row>
    <row r="724" spans="1:1" x14ac:dyDescent="0.25">
      <c r="A724">
        <v>1</v>
      </c>
    </row>
    <row r="725" spans="1:1" x14ac:dyDescent="0.25">
      <c r="A725">
        <v>1</v>
      </c>
    </row>
    <row r="726" spans="1:1" x14ac:dyDescent="0.25">
      <c r="A726">
        <v>1</v>
      </c>
    </row>
    <row r="727" spans="1:1" x14ac:dyDescent="0.25">
      <c r="A727">
        <v>7</v>
      </c>
    </row>
    <row r="728" spans="1:1" x14ac:dyDescent="0.25">
      <c r="A728">
        <v>5</v>
      </c>
    </row>
    <row r="729" spans="1:1" x14ac:dyDescent="0.25">
      <c r="A729">
        <v>1</v>
      </c>
    </row>
    <row r="730" spans="1:1" x14ac:dyDescent="0.25">
      <c r="A730">
        <v>1</v>
      </c>
    </row>
    <row r="731" spans="1:1" x14ac:dyDescent="0.25">
      <c r="A731">
        <v>1</v>
      </c>
    </row>
    <row r="732" spans="1:1" x14ac:dyDescent="0.25">
      <c r="A732">
        <v>2</v>
      </c>
    </row>
    <row r="733" spans="1:1" x14ac:dyDescent="0.25">
      <c r="A733">
        <v>1</v>
      </c>
    </row>
    <row r="734" spans="1:1" x14ac:dyDescent="0.25">
      <c r="A734">
        <v>1</v>
      </c>
    </row>
    <row r="735" spans="1:1" x14ac:dyDescent="0.25">
      <c r="A735">
        <v>5</v>
      </c>
    </row>
    <row r="736" spans="1:1" x14ac:dyDescent="0.25">
      <c r="A736">
        <v>1</v>
      </c>
    </row>
    <row r="737" spans="1:1" x14ac:dyDescent="0.25">
      <c r="A737">
        <v>1</v>
      </c>
    </row>
    <row r="738" spans="1:1" x14ac:dyDescent="0.25">
      <c r="A738">
        <v>1</v>
      </c>
    </row>
    <row r="739" spans="1:1" x14ac:dyDescent="0.25">
      <c r="A739">
        <v>4</v>
      </c>
    </row>
    <row r="740" spans="1:1" x14ac:dyDescent="0.25">
      <c r="A740">
        <v>5</v>
      </c>
    </row>
    <row r="741" spans="1:1" x14ac:dyDescent="0.25">
      <c r="A741">
        <v>1</v>
      </c>
    </row>
    <row r="742" spans="1:1" x14ac:dyDescent="0.25">
      <c r="A742">
        <v>7</v>
      </c>
    </row>
    <row r="743" spans="1:1" x14ac:dyDescent="0.25">
      <c r="A743">
        <v>7</v>
      </c>
    </row>
    <row r="744" spans="1:1" x14ac:dyDescent="0.25">
      <c r="A744">
        <v>5</v>
      </c>
    </row>
    <row r="745" spans="1:1" x14ac:dyDescent="0.25">
      <c r="A745">
        <v>2</v>
      </c>
    </row>
    <row r="746" spans="1:1" x14ac:dyDescent="0.25">
      <c r="A746">
        <v>1</v>
      </c>
    </row>
    <row r="747" spans="1:1" x14ac:dyDescent="0.25">
      <c r="A747">
        <v>5</v>
      </c>
    </row>
    <row r="748" spans="1:1" x14ac:dyDescent="0.25">
      <c r="A748">
        <v>1</v>
      </c>
    </row>
    <row r="749" spans="1:1" x14ac:dyDescent="0.25">
      <c r="A749">
        <v>1</v>
      </c>
    </row>
    <row r="750" spans="1:1" x14ac:dyDescent="0.25">
      <c r="A750">
        <v>1</v>
      </c>
    </row>
    <row r="751" spans="1:1" x14ac:dyDescent="0.25">
      <c r="A751">
        <v>2</v>
      </c>
    </row>
    <row r="752" spans="1:1" x14ac:dyDescent="0.25">
      <c r="A752">
        <v>3</v>
      </c>
    </row>
    <row r="753" spans="1:1" x14ac:dyDescent="0.25">
      <c r="A753">
        <v>1</v>
      </c>
    </row>
    <row r="754" spans="1:1" x14ac:dyDescent="0.25">
      <c r="A754">
        <v>5</v>
      </c>
    </row>
    <row r="755" spans="1:1" x14ac:dyDescent="0.25">
      <c r="A755">
        <v>8</v>
      </c>
    </row>
    <row r="756" spans="1:1" x14ac:dyDescent="0.25">
      <c r="A756">
        <v>1</v>
      </c>
    </row>
    <row r="757" spans="1:1" x14ac:dyDescent="0.25">
      <c r="A757">
        <v>5</v>
      </c>
    </row>
    <row r="758" spans="1:1" x14ac:dyDescent="0.25">
      <c r="A758">
        <v>1</v>
      </c>
    </row>
    <row r="759" spans="1:1" x14ac:dyDescent="0.25">
      <c r="A759">
        <v>8</v>
      </c>
    </row>
    <row r="760" spans="1:1" x14ac:dyDescent="0.25">
      <c r="A760">
        <v>5</v>
      </c>
    </row>
    <row r="761" spans="1:1" x14ac:dyDescent="0.25">
      <c r="A761">
        <v>1</v>
      </c>
    </row>
    <row r="762" spans="1:1" x14ac:dyDescent="0.25">
      <c r="A762">
        <v>5</v>
      </c>
    </row>
    <row r="763" spans="1:1" x14ac:dyDescent="0.25">
      <c r="A763">
        <v>5</v>
      </c>
    </row>
    <row r="764" spans="1:1" x14ac:dyDescent="0.25">
      <c r="A764">
        <v>5</v>
      </c>
    </row>
    <row r="765" spans="1:1" x14ac:dyDescent="0.25">
      <c r="A765">
        <v>1</v>
      </c>
    </row>
    <row r="766" spans="1:1" x14ac:dyDescent="0.25">
      <c r="A766">
        <v>1</v>
      </c>
    </row>
    <row r="767" spans="1:1" x14ac:dyDescent="0.25">
      <c r="A767">
        <v>1</v>
      </c>
    </row>
    <row r="768" spans="1:1" x14ac:dyDescent="0.25">
      <c r="A768">
        <v>7</v>
      </c>
    </row>
    <row r="769" spans="1:1" x14ac:dyDescent="0.25">
      <c r="A769">
        <v>2</v>
      </c>
    </row>
    <row r="770" spans="1:1" x14ac:dyDescent="0.25">
      <c r="A770">
        <v>1</v>
      </c>
    </row>
    <row r="771" spans="1:1" x14ac:dyDescent="0.25">
      <c r="A771">
        <v>2</v>
      </c>
    </row>
    <row r="772" spans="1:1" x14ac:dyDescent="0.25">
      <c r="A772">
        <v>1</v>
      </c>
    </row>
    <row r="773" spans="1:1" x14ac:dyDescent="0.25">
      <c r="A773">
        <v>2</v>
      </c>
    </row>
    <row r="774" spans="1:1" x14ac:dyDescent="0.25">
      <c r="A774">
        <v>7</v>
      </c>
    </row>
    <row r="775" spans="1:1" x14ac:dyDescent="0.25">
      <c r="A775">
        <v>5</v>
      </c>
    </row>
    <row r="776" spans="1:1" x14ac:dyDescent="0.25">
      <c r="A776">
        <v>5</v>
      </c>
    </row>
    <row r="777" spans="1:1" x14ac:dyDescent="0.25">
      <c r="A777">
        <v>1</v>
      </c>
    </row>
    <row r="778" spans="1:1" x14ac:dyDescent="0.25">
      <c r="A778">
        <v>1</v>
      </c>
    </row>
    <row r="779" spans="1:1" x14ac:dyDescent="0.25">
      <c r="A779">
        <v>1</v>
      </c>
    </row>
    <row r="780" spans="1:1" x14ac:dyDescent="0.25">
      <c r="A780">
        <v>6</v>
      </c>
    </row>
    <row r="781" spans="1:1" x14ac:dyDescent="0.25">
      <c r="A781">
        <v>1</v>
      </c>
    </row>
    <row r="782" spans="1:1" x14ac:dyDescent="0.25">
      <c r="A782">
        <v>1</v>
      </c>
    </row>
    <row r="783" spans="1:1" x14ac:dyDescent="0.25">
      <c r="A783">
        <v>1</v>
      </c>
    </row>
    <row r="784" spans="1:1" x14ac:dyDescent="0.25">
      <c r="A784">
        <v>7</v>
      </c>
    </row>
    <row r="785" spans="1:1" x14ac:dyDescent="0.25">
      <c r="A785">
        <v>1</v>
      </c>
    </row>
    <row r="786" spans="1:1" x14ac:dyDescent="0.25">
      <c r="A786">
        <v>2</v>
      </c>
    </row>
    <row r="787" spans="1:1" x14ac:dyDescent="0.25">
      <c r="A787">
        <v>1</v>
      </c>
    </row>
    <row r="788" spans="1:1" x14ac:dyDescent="0.25">
      <c r="A788">
        <v>7</v>
      </c>
    </row>
    <row r="789" spans="1:1" x14ac:dyDescent="0.25">
      <c r="A789">
        <v>1</v>
      </c>
    </row>
    <row r="790" spans="1:1" x14ac:dyDescent="0.25">
      <c r="A790">
        <v>5</v>
      </c>
    </row>
    <row r="791" spans="1:1" x14ac:dyDescent="0.25">
      <c r="A791">
        <v>2</v>
      </c>
    </row>
    <row r="792" spans="1:1" x14ac:dyDescent="0.25">
      <c r="A792">
        <v>1</v>
      </c>
    </row>
    <row r="793" spans="1:1" x14ac:dyDescent="0.25">
      <c r="A793">
        <v>2</v>
      </c>
    </row>
    <row r="794" spans="1:1" x14ac:dyDescent="0.25">
      <c r="A794">
        <v>6</v>
      </c>
    </row>
    <row r="795" spans="1:1" x14ac:dyDescent="0.25">
      <c r="A795">
        <v>5</v>
      </c>
    </row>
    <row r="796" spans="1:1" x14ac:dyDescent="0.25">
      <c r="A796">
        <v>5</v>
      </c>
    </row>
    <row r="797" spans="1:1" x14ac:dyDescent="0.25">
      <c r="A797">
        <v>7</v>
      </c>
    </row>
    <row r="798" spans="1:1" x14ac:dyDescent="0.25">
      <c r="A798">
        <v>1</v>
      </c>
    </row>
    <row r="799" spans="1:1" x14ac:dyDescent="0.25">
      <c r="A799">
        <v>1</v>
      </c>
    </row>
    <row r="800" spans="1:1" x14ac:dyDescent="0.25">
      <c r="A800">
        <v>4</v>
      </c>
    </row>
    <row r="801" spans="1:1" x14ac:dyDescent="0.25">
      <c r="A801">
        <v>2</v>
      </c>
    </row>
    <row r="802" spans="1:1" x14ac:dyDescent="0.25">
      <c r="A802">
        <v>7</v>
      </c>
    </row>
    <row r="803" spans="1:1" x14ac:dyDescent="0.25">
      <c r="A803">
        <v>1</v>
      </c>
    </row>
    <row r="804" spans="1:1" x14ac:dyDescent="0.25">
      <c r="A804">
        <v>7</v>
      </c>
    </row>
    <row r="805" spans="1:1" x14ac:dyDescent="0.25">
      <c r="A805">
        <v>1</v>
      </c>
    </row>
    <row r="806" spans="1:1" x14ac:dyDescent="0.25">
      <c r="A806">
        <v>1</v>
      </c>
    </row>
    <row r="807" spans="1:1" x14ac:dyDescent="0.25">
      <c r="A807">
        <v>1</v>
      </c>
    </row>
    <row r="808" spans="1:1" x14ac:dyDescent="0.25">
      <c r="A808">
        <v>1</v>
      </c>
    </row>
    <row r="809" spans="1:1" x14ac:dyDescent="0.25">
      <c r="A809">
        <v>6</v>
      </c>
    </row>
    <row r="810" spans="1:1" x14ac:dyDescent="0.25">
      <c r="A810">
        <v>1</v>
      </c>
    </row>
    <row r="811" spans="1:1" x14ac:dyDescent="0.25">
      <c r="A811">
        <v>5</v>
      </c>
    </row>
    <row r="812" spans="1:1" x14ac:dyDescent="0.25">
      <c r="A812">
        <v>6</v>
      </c>
    </row>
    <row r="813" spans="1:1" x14ac:dyDescent="0.25">
      <c r="A813">
        <v>5</v>
      </c>
    </row>
    <row r="814" spans="1:1" x14ac:dyDescent="0.25">
      <c r="A814">
        <v>1</v>
      </c>
    </row>
    <row r="815" spans="1:1" x14ac:dyDescent="0.25">
      <c r="A815">
        <v>2</v>
      </c>
    </row>
    <row r="816" spans="1:1" x14ac:dyDescent="0.25">
      <c r="A816">
        <v>5</v>
      </c>
    </row>
    <row r="817" spans="1:1" x14ac:dyDescent="0.25">
      <c r="A817">
        <v>1</v>
      </c>
    </row>
    <row r="818" spans="1:1" x14ac:dyDescent="0.25">
      <c r="A818">
        <v>1</v>
      </c>
    </row>
    <row r="819" spans="1:1" x14ac:dyDescent="0.25">
      <c r="A819">
        <v>1</v>
      </c>
    </row>
    <row r="820" spans="1:1" x14ac:dyDescent="0.25">
      <c r="A820">
        <v>1</v>
      </c>
    </row>
    <row r="821" spans="1:1" x14ac:dyDescent="0.25">
      <c r="A821">
        <v>1</v>
      </c>
    </row>
    <row r="822" spans="1:1" x14ac:dyDescent="0.25">
      <c r="A822">
        <v>5</v>
      </c>
    </row>
    <row r="823" spans="1:1" x14ac:dyDescent="0.25">
      <c r="A823">
        <v>7</v>
      </c>
    </row>
    <row r="824" spans="1:1" x14ac:dyDescent="0.25">
      <c r="A824">
        <v>7</v>
      </c>
    </row>
    <row r="825" spans="1:1" x14ac:dyDescent="0.25">
      <c r="A825">
        <v>5</v>
      </c>
    </row>
    <row r="826" spans="1:1" x14ac:dyDescent="0.25">
      <c r="A826">
        <v>1</v>
      </c>
    </row>
    <row r="827" spans="1:1" x14ac:dyDescent="0.25">
      <c r="A827">
        <v>1</v>
      </c>
    </row>
    <row r="828" spans="1:1" x14ac:dyDescent="0.25">
      <c r="A828">
        <v>7</v>
      </c>
    </row>
    <row r="829" spans="1:1" x14ac:dyDescent="0.25">
      <c r="A829">
        <v>1</v>
      </c>
    </row>
    <row r="830" spans="1:1" x14ac:dyDescent="0.25">
      <c r="A830">
        <v>5</v>
      </c>
    </row>
    <row r="831" spans="1:1" x14ac:dyDescent="0.25">
      <c r="A831">
        <v>1</v>
      </c>
    </row>
    <row r="832" spans="1:1" x14ac:dyDescent="0.25">
      <c r="A832">
        <v>2</v>
      </c>
    </row>
    <row r="833" spans="1:1" x14ac:dyDescent="0.25">
      <c r="A833">
        <v>2</v>
      </c>
    </row>
    <row r="834" spans="1:1" x14ac:dyDescent="0.25">
      <c r="A834">
        <v>2</v>
      </c>
    </row>
    <row r="835" spans="1:1" x14ac:dyDescent="0.25">
      <c r="A835">
        <v>1</v>
      </c>
    </row>
    <row r="836" spans="1:1" x14ac:dyDescent="0.25">
      <c r="A836">
        <v>1</v>
      </c>
    </row>
    <row r="837" spans="1:1" x14ac:dyDescent="0.25">
      <c r="A837">
        <v>2</v>
      </c>
    </row>
    <row r="838" spans="1:1" x14ac:dyDescent="0.25">
      <c r="A838">
        <v>1</v>
      </c>
    </row>
    <row r="839" spans="1:1" x14ac:dyDescent="0.25">
      <c r="A839">
        <v>5</v>
      </c>
    </row>
    <row r="840" spans="1:1" x14ac:dyDescent="0.25">
      <c r="A840">
        <v>1</v>
      </c>
    </row>
    <row r="841" spans="1:1" x14ac:dyDescent="0.25">
      <c r="A841">
        <v>1</v>
      </c>
    </row>
    <row r="842" spans="1:1" x14ac:dyDescent="0.25">
      <c r="A842">
        <v>5</v>
      </c>
    </row>
    <row r="843" spans="1:1" x14ac:dyDescent="0.25">
      <c r="A843">
        <v>1</v>
      </c>
    </row>
    <row r="844" spans="1:1" x14ac:dyDescent="0.25">
      <c r="A844">
        <v>3</v>
      </c>
    </row>
    <row r="845" spans="1:1" x14ac:dyDescent="0.25">
      <c r="A845">
        <v>1</v>
      </c>
    </row>
    <row r="846" spans="1:1" x14ac:dyDescent="0.25">
      <c r="A846">
        <v>2</v>
      </c>
    </row>
    <row r="847" spans="1:1" x14ac:dyDescent="0.25">
      <c r="A847">
        <v>7</v>
      </c>
    </row>
    <row r="848" spans="1:1" x14ac:dyDescent="0.25">
      <c r="A848">
        <v>7</v>
      </c>
    </row>
    <row r="849" spans="1:1" x14ac:dyDescent="0.25">
      <c r="A849">
        <v>1</v>
      </c>
    </row>
    <row r="850" spans="1:1" x14ac:dyDescent="0.25">
      <c r="A850">
        <v>8</v>
      </c>
    </row>
    <row r="851" spans="1:1" x14ac:dyDescent="0.25">
      <c r="A851">
        <v>1</v>
      </c>
    </row>
    <row r="852" spans="1:1" x14ac:dyDescent="0.25">
      <c r="A852">
        <v>8</v>
      </c>
    </row>
    <row r="853" spans="1:1" x14ac:dyDescent="0.25">
      <c r="A853">
        <v>5</v>
      </c>
    </row>
    <row r="854" spans="1:1" x14ac:dyDescent="0.25">
      <c r="A854">
        <v>5</v>
      </c>
    </row>
    <row r="855" spans="1:1" x14ac:dyDescent="0.25">
      <c r="A855">
        <v>1</v>
      </c>
    </row>
    <row r="856" spans="1:1" x14ac:dyDescent="0.25">
      <c r="A856">
        <v>7</v>
      </c>
    </row>
    <row r="857" spans="1:1" x14ac:dyDescent="0.25">
      <c r="A857">
        <v>1</v>
      </c>
    </row>
    <row r="858" spans="1:1" x14ac:dyDescent="0.25">
      <c r="A858">
        <v>5</v>
      </c>
    </row>
    <row r="859" spans="1:1" x14ac:dyDescent="0.25">
      <c r="A859">
        <v>2</v>
      </c>
    </row>
    <row r="860" spans="1:1" x14ac:dyDescent="0.25">
      <c r="A860">
        <v>1</v>
      </c>
    </row>
    <row r="861" spans="1:1" x14ac:dyDescent="0.25">
      <c r="A861">
        <v>1</v>
      </c>
    </row>
    <row r="862" spans="1:1" x14ac:dyDescent="0.25">
      <c r="A862">
        <v>2</v>
      </c>
    </row>
    <row r="863" spans="1:1" x14ac:dyDescent="0.25">
      <c r="A863">
        <v>2</v>
      </c>
    </row>
    <row r="864" spans="1:1" x14ac:dyDescent="0.25">
      <c r="A864">
        <v>4</v>
      </c>
    </row>
    <row r="865" spans="1:1" x14ac:dyDescent="0.25">
      <c r="A865">
        <v>5</v>
      </c>
    </row>
    <row r="866" spans="1:1" x14ac:dyDescent="0.25">
      <c r="A866">
        <v>1</v>
      </c>
    </row>
    <row r="867" spans="1:1" x14ac:dyDescent="0.25">
      <c r="A867">
        <v>4</v>
      </c>
    </row>
    <row r="868" spans="1:1" x14ac:dyDescent="0.25">
      <c r="A868">
        <v>1</v>
      </c>
    </row>
    <row r="869" spans="1:1" x14ac:dyDescent="0.25">
      <c r="A869">
        <v>2</v>
      </c>
    </row>
    <row r="870" spans="1:1" x14ac:dyDescent="0.25">
      <c r="A870">
        <v>8</v>
      </c>
    </row>
    <row r="871" spans="1:1" x14ac:dyDescent="0.25">
      <c r="A871">
        <v>1</v>
      </c>
    </row>
    <row r="872" spans="1:1" x14ac:dyDescent="0.25">
      <c r="A872">
        <v>1</v>
      </c>
    </row>
    <row r="873" spans="1:1" x14ac:dyDescent="0.25">
      <c r="A873">
        <v>1</v>
      </c>
    </row>
    <row r="874" spans="1:1" x14ac:dyDescent="0.25">
      <c r="A874">
        <v>1</v>
      </c>
    </row>
    <row r="875" spans="1:1" x14ac:dyDescent="0.25">
      <c r="A875">
        <v>1</v>
      </c>
    </row>
    <row r="876" spans="1:1" x14ac:dyDescent="0.25">
      <c r="A876">
        <v>1</v>
      </c>
    </row>
    <row r="877" spans="1:1" x14ac:dyDescent="0.25">
      <c r="A877">
        <v>1</v>
      </c>
    </row>
    <row r="878" spans="1:1" x14ac:dyDescent="0.25">
      <c r="A878">
        <v>1</v>
      </c>
    </row>
    <row r="879" spans="1:1" x14ac:dyDescent="0.25">
      <c r="A879">
        <v>1</v>
      </c>
    </row>
    <row r="880" spans="1:1" x14ac:dyDescent="0.25">
      <c r="A880">
        <v>1</v>
      </c>
    </row>
    <row r="881" spans="1:1" x14ac:dyDescent="0.25">
      <c r="A881">
        <v>1</v>
      </c>
    </row>
    <row r="882" spans="1:1" x14ac:dyDescent="0.25">
      <c r="A882">
        <v>1</v>
      </c>
    </row>
    <row r="883" spans="1:1" x14ac:dyDescent="0.25">
      <c r="A883">
        <v>1</v>
      </c>
    </row>
    <row r="884" spans="1:1" x14ac:dyDescent="0.25">
      <c r="A884">
        <v>1</v>
      </c>
    </row>
    <row r="885" spans="1:1" x14ac:dyDescent="0.25">
      <c r="A885">
        <v>5</v>
      </c>
    </row>
    <row r="886" spans="1:1" x14ac:dyDescent="0.25">
      <c r="A886">
        <v>5</v>
      </c>
    </row>
    <row r="887" spans="1:1" x14ac:dyDescent="0.25">
      <c r="A887">
        <v>2</v>
      </c>
    </row>
    <row r="888" spans="1:1" x14ac:dyDescent="0.25">
      <c r="A888">
        <v>5</v>
      </c>
    </row>
    <row r="889" spans="1:1" x14ac:dyDescent="0.25">
      <c r="A889">
        <v>1</v>
      </c>
    </row>
    <row r="890" spans="1:1" x14ac:dyDescent="0.25">
      <c r="A890">
        <v>1</v>
      </c>
    </row>
    <row r="891" spans="1:1" x14ac:dyDescent="0.25">
      <c r="A891">
        <v>1</v>
      </c>
    </row>
    <row r="892" spans="1:1" x14ac:dyDescent="0.25">
      <c r="A892">
        <v>2</v>
      </c>
    </row>
    <row r="893" spans="1:1" x14ac:dyDescent="0.25">
      <c r="A893">
        <v>1</v>
      </c>
    </row>
    <row r="894" spans="1:1" x14ac:dyDescent="0.25">
      <c r="A894">
        <v>7</v>
      </c>
    </row>
    <row r="895" spans="1:1" x14ac:dyDescent="0.25">
      <c r="A895">
        <v>1</v>
      </c>
    </row>
    <row r="896" spans="1:1" x14ac:dyDescent="0.25">
      <c r="A896">
        <v>2</v>
      </c>
    </row>
    <row r="897" spans="1:1" x14ac:dyDescent="0.25">
      <c r="A897">
        <v>2</v>
      </c>
    </row>
    <row r="898" spans="1:1" x14ac:dyDescent="0.25">
      <c r="A898">
        <v>1</v>
      </c>
    </row>
    <row r="899" spans="1:1" x14ac:dyDescent="0.25">
      <c r="A899">
        <v>1</v>
      </c>
    </row>
    <row r="900" spans="1:1" x14ac:dyDescent="0.25">
      <c r="A900">
        <v>1</v>
      </c>
    </row>
    <row r="901" spans="1:1" x14ac:dyDescent="0.25">
      <c r="A901">
        <v>1</v>
      </c>
    </row>
    <row r="902" spans="1:1" x14ac:dyDescent="0.25">
      <c r="A902">
        <v>6</v>
      </c>
    </row>
    <row r="903" spans="1:1" x14ac:dyDescent="0.25">
      <c r="A903">
        <v>1</v>
      </c>
    </row>
    <row r="904" spans="1:1" x14ac:dyDescent="0.25">
      <c r="A904">
        <v>1</v>
      </c>
    </row>
    <row r="905" spans="1:1" x14ac:dyDescent="0.25">
      <c r="A905">
        <v>1</v>
      </c>
    </row>
    <row r="906" spans="1:1" x14ac:dyDescent="0.25">
      <c r="A906">
        <v>1</v>
      </c>
    </row>
    <row r="907" spans="1:1" x14ac:dyDescent="0.25">
      <c r="A907">
        <v>1</v>
      </c>
    </row>
    <row r="908" spans="1:1" x14ac:dyDescent="0.25">
      <c r="A908">
        <v>2</v>
      </c>
    </row>
    <row r="909" spans="1:1" x14ac:dyDescent="0.25">
      <c r="A909">
        <v>1</v>
      </c>
    </row>
    <row r="910" spans="1:1" x14ac:dyDescent="0.25">
      <c r="A910">
        <v>7</v>
      </c>
    </row>
    <row r="911" spans="1:1" x14ac:dyDescent="0.25">
      <c r="A911">
        <v>1</v>
      </c>
    </row>
    <row r="912" spans="1:1" x14ac:dyDescent="0.25">
      <c r="A912">
        <v>6</v>
      </c>
    </row>
    <row r="913" spans="1:1" x14ac:dyDescent="0.25">
      <c r="A913">
        <v>4</v>
      </c>
    </row>
    <row r="914" spans="1:1" x14ac:dyDescent="0.25">
      <c r="A914">
        <v>2</v>
      </c>
    </row>
    <row r="915" spans="1:1" x14ac:dyDescent="0.25">
      <c r="A915">
        <v>2</v>
      </c>
    </row>
    <row r="916" spans="1:1" x14ac:dyDescent="0.25">
      <c r="A916">
        <v>4</v>
      </c>
    </row>
    <row r="917" spans="1:1" x14ac:dyDescent="0.25">
      <c r="A917">
        <v>2</v>
      </c>
    </row>
    <row r="918" spans="1:1" x14ac:dyDescent="0.25">
      <c r="A918">
        <v>1</v>
      </c>
    </row>
    <row r="919" spans="1:1" x14ac:dyDescent="0.25">
      <c r="A919">
        <v>1</v>
      </c>
    </row>
    <row r="920" spans="1:1" x14ac:dyDescent="0.25">
      <c r="A920">
        <v>2</v>
      </c>
    </row>
    <row r="921" spans="1:1" x14ac:dyDescent="0.25">
      <c r="A921">
        <v>1</v>
      </c>
    </row>
    <row r="922" spans="1:1" x14ac:dyDescent="0.25">
      <c r="A922">
        <v>1</v>
      </c>
    </row>
    <row r="923" spans="1:1" x14ac:dyDescent="0.25">
      <c r="A923">
        <v>1</v>
      </c>
    </row>
    <row r="924" spans="1:1" x14ac:dyDescent="0.25">
      <c r="A924">
        <v>1</v>
      </c>
    </row>
    <row r="925" spans="1:1" x14ac:dyDescent="0.25">
      <c r="A925">
        <v>5</v>
      </c>
    </row>
    <row r="926" spans="1:1" x14ac:dyDescent="0.25">
      <c r="A926">
        <v>7</v>
      </c>
    </row>
    <row r="927" spans="1:1" x14ac:dyDescent="0.25">
      <c r="A927">
        <v>1</v>
      </c>
    </row>
    <row r="928" spans="1:1" x14ac:dyDescent="0.25">
      <c r="A928">
        <v>5</v>
      </c>
    </row>
    <row r="929" spans="1:1" x14ac:dyDescent="0.25">
      <c r="A929">
        <v>1</v>
      </c>
    </row>
    <row r="930" spans="1:1" x14ac:dyDescent="0.25">
      <c r="A930">
        <v>1</v>
      </c>
    </row>
    <row r="931" spans="1:1" x14ac:dyDescent="0.25">
      <c r="A931">
        <v>5</v>
      </c>
    </row>
    <row r="932" spans="1:1" x14ac:dyDescent="0.25">
      <c r="A932">
        <v>1</v>
      </c>
    </row>
    <row r="933" spans="1:1" x14ac:dyDescent="0.25">
      <c r="A933">
        <v>1</v>
      </c>
    </row>
    <row r="934" spans="1:1" x14ac:dyDescent="0.25">
      <c r="A934">
        <v>5</v>
      </c>
    </row>
    <row r="935" spans="1:1" x14ac:dyDescent="0.25">
      <c r="A935">
        <v>1</v>
      </c>
    </row>
    <row r="936" spans="1:1" x14ac:dyDescent="0.25">
      <c r="A936">
        <v>5</v>
      </c>
    </row>
    <row r="937" spans="1:1" x14ac:dyDescent="0.25">
      <c r="A937">
        <v>1</v>
      </c>
    </row>
    <row r="938" spans="1:1" x14ac:dyDescent="0.25">
      <c r="A938">
        <v>7</v>
      </c>
    </row>
    <row r="939" spans="1:1" x14ac:dyDescent="0.25">
      <c r="A939">
        <v>6</v>
      </c>
    </row>
    <row r="940" spans="1:1" x14ac:dyDescent="0.25">
      <c r="A940">
        <v>6</v>
      </c>
    </row>
    <row r="941" spans="1:1" x14ac:dyDescent="0.25">
      <c r="A941">
        <v>1</v>
      </c>
    </row>
    <row r="942" spans="1:1" x14ac:dyDescent="0.25">
      <c r="A942">
        <v>1</v>
      </c>
    </row>
    <row r="943" spans="1:1" x14ac:dyDescent="0.25">
      <c r="A943">
        <v>1</v>
      </c>
    </row>
    <row r="944" spans="1:1" x14ac:dyDescent="0.25">
      <c r="A944">
        <v>1</v>
      </c>
    </row>
    <row r="945" spans="1:1" x14ac:dyDescent="0.25">
      <c r="A945">
        <v>1</v>
      </c>
    </row>
    <row r="946" spans="1:1" x14ac:dyDescent="0.25">
      <c r="A946">
        <v>5</v>
      </c>
    </row>
    <row r="947" spans="1:1" x14ac:dyDescent="0.25">
      <c r="A947">
        <v>1</v>
      </c>
    </row>
    <row r="948" spans="1:1" x14ac:dyDescent="0.25">
      <c r="A948">
        <v>5</v>
      </c>
    </row>
    <row r="949" spans="1:1" x14ac:dyDescent="0.25">
      <c r="A949">
        <v>5</v>
      </c>
    </row>
    <row r="950" spans="1:1" x14ac:dyDescent="0.25">
      <c r="A950">
        <v>1</v>
      </c>
    </row>
    <row r="951" spans="1:1" x14ac:dyDescent="0.25">
      <c r="A951">
        <v>5</v>
      </c>
    </row>
    <row r="952" spans="1:1" x14ac:dyDescent="0.25">
      <c r="A952">
        <v>5</v>
      </c>
    </row>
    <row r="953" spans="1:1" x14ac:dyDescent="0.25">
      <c r="A953">
        <v>1</v>
      </c>
    </row>
    <row r="954" spans="1:1" x14ac:dyDescent="0.25">
      <c r="A954">
        <v>7</v>
      </c>
    </row>
    <row r="955" spans="1:1" x14ac:dyDescent="0.25">
      <c r="A955">
        <v>1</v>
      </c>
    </row>
    <row r="956" spans="1:1" x14ac:dyDescent="0.25">
      <c r="A956">
        <v>1</v>
      </c>
    </row>
    <row r="957" spans="1:1" x14ac:dyDescent="0.25">
      <c r="A957">
        <v>2</v>
      </c>
    </row>
    <row r="958" spans="1:1" x14ac:dyDescent="0.25">
      <c r="A958">
        <v>1</v>
      </c>
    </row>
    <row r="959" spans="1:1" x14ac:dyDescent="0.25">
      <c r="A959">
        <v>7</v>
      </c>
    </row>
    <row r="960" spans="1:1" x14ac:dyDescent="0.25">
      <c r="A960">
        <v>5</v>
      </c>
    </row>
    <row r="961" spans="1:1" x14ac:dyDescent="0.25">
      <c r="A961">
        <v>1</v>
      </c>
    </row>
    <row r="962" spans="1:1" x14ac:dyDescent="0.25">
      <c r="A962">
        <v>1</v>
      </c>
    </row>
    <row r="963" spans="1:1" x14ac:dyDescent="0.25">
      <c r="A963">
        <v>1</v>
      </c>
    </row>
    <row r="964" spans="1:1" x14ac:dyDescent="0.25">
      <c r="A964">
        <v>1</v>
      </c>
    </row>
    <row r="965" spans="1:1" x14ac:dyDescent="0.25">
      <c r="A965">
        <v>1</v>
      </c>
    </row>
    <row r="966" spans="1:1" x14ac:dyDescent="0.25">
      <c r="A966">
        <v>5</v>
      </c>
    </row>
    <row r="967" spans="1:1" x14ac:dyDescent="0.25">
      <c r="A967">
        <v>1</v>
      </c>
    </row>
    <row r="968" spans="1:1" x14ac:dyDescent="0.25">
      <c r="A968">
        <v>5</v>
      </c>
    </row>
    <row r="969" spans="1:1" x14ac:dyDescent="0.25">
      <c r="A969">
        <v>2</v>
      </c>
    </row>
    <row r="970" spans="1:1" x14ac:dyDescent="0.25">
      <c r="A970">
        <v>1</v>
      </c>
    </row>
    <row r="971" spans="1:1" x14ac:dyDescent="0.25">
      <c r="A971">
        <v>1</v>
      </c>
    </row>
    <row r="972" spans="1:1" x14ac:dyDescent="0.25">
      <c r="A972">
        <v>5</v>
      </c>
    </row>
    <row r="973" spans="1:1" x14ac:dyDescent="0.25">
      <c r="A973">
        <v>2</v>
      </c>
    </row>
    <row r="974" spans="1:1" x14ac:dyDescent="0.25">
      <c r="A974">
        <v>1</v>
      </c>
    </row>
    <row r="975" spans="1:1" x14ac:dyDescent="0.25">
      <c r="A975">
        <v>5</v>
      </c>
    </row>
    <row r="976" spans="1:1" x14ac:dyDescent="0.25">
      <c r="A976">
        <v>6</v>
      </c>
    </row>
    <row r="977" spans="1:1" x14ac:dyDescent="0.25">
      <c r="A977">
        <v>5</v>
      </c>
    </row>
    <row r="978" spans="1:1" x14ac:dyDescent="0.25">
      <c r="A978">
        <v>2</v>
      </c>
    </row>
    <row r="979" spans="1:1" x14ac:dyDescent="0.25">
      <c r="A979">
        <v>4</v>
      </c>
    </row>
    <row r="980" spans="1:1" x14ac:dyDescent="0.25">
      <c r="A980">
        <v>2</v>
      </c>
    </row>
    <row r="981" spans="1:1" x14ac:dyDescent="0.25">
      <c r="A981">
        <v>1</v>
      </c>
    </row>
    <row r="982" spans="1:1" x14ac:dyDescent="0.25">
      <c r="A982">
        <v>1</v>
      </c>
    </row>
    <row r="983" spans="1:1" x14ac:dyDescent="0.25">
      <c r="A983">
        <v>5</v>
      </c>
    </row>
    <row r="984" spans="1:1" x14ac:dyDescent="0.25">
      <c r="A984">
        <v>7</v>
      </c>
    </row>
    <row r="985" spans="1:1" x14ac:dyDescent="0.25">
      <c r="A985">
        <v>1</v>
      </c>
    </row>
    <row r="986" spans="1:1" x14ac:dyDescent="0.25">
      <c r="A986">
        <v>5</v>
      </c>
    </row>
    <row r="987" spans="1:1" x14ac:dyDescent="0.25">
      <c r="A987">
        <v>1</v>
      </c>
    </row>
    <row r="988" spans="1:1" x14ac:dyDescent="0.25">
      <c r="A988">
        <v>1</v>
      </c>
    </row>
    <row r="989" spans="1:1" x14ac:dyDescent="0.25">
      <c r="A989">
        <v>2</v>
      </c>
    </row>
    <row r="990" spans="1:1" x14ac:dyDescent="0.25">
      <c r="A990">
        <v>5</v>
      </c>
    </row>
    <row r="991" spans="1:1" x14ac:dyDescent="0.25">
      <c r="A991">
        <v>1</v>
      </c>
    </row>
    <row r="992" spans="1:1" x14ac:dyDescent="0.25">
      <c r="A992">
        <v>5</v>
      </c>
    </row>
    <row r="993" spans="1:1" x14ac:dyDescent="0.25">
      <c r="A993">
        <v>1</v>
      </c>
    </row>
    <row r="994" spans="1:1" x14ac:dyDescent="0.25">
      <c r="A994">
        <v>7</v>
      </c>
    </row>
    <row r="995" spans="1:1" x14ac:dyDescent="0.25">
      <c r="A995">
        <v>8</v>
      </c>
    </row>
    <row r="996" spans="1:1" x14ac:dyDescent="0.25">
      <c r="A996">
        <v>5</v>
      </c>
    </row>
    <row r="997" spans="1:1" x14ac:dyDescent="0.25">
      <c r="A997">
        <v>2</v>
      </c>
    </row>
    <row r="998" spans="1:1" x14ac:dyDescent="0.25">
      <c r="A998">
        <v>5</v>
      </c>
    </row>
    <row r="999" spans="1:1" x14ac:dyDescent="0.25">
      <c r="A999">
        <v>1</v>
      </c>
    </row>
    <row r="1000" spans="1:1" x14ac:dyDescent="0.25">
      <c r="A1000">
        <v>1</v>
      </c>
    </row>
    <row r="1001" spans="1:1" x14ac:dyDescent="0.25">
      <c r="A1001">
        <v>1</v>
      </c>
    </row>
    <row r="1002" spans="1:1" x14ac:dyDescent="0.25">
      <c r="A1002">
        <v>1</v>
      </c>
    </row>
    <row r="1003" spans="1:1" x14ac:dyDescent="0.25">
      <c r="A1003">
        <v>2</v>
      </c>
    </row>
    <row r="1004" spans="1:1" x14ac:dyDescent="0.25">
      <c r="A1004">
        <v>1</v>
      </c>
    </row>
    <row r="1005" spans="1:1" x14ac:dyDescent="0.25">
      <c r="A1005">
        <v>1</v>
      </c>
    </row>
    <row r="1006" spans="1:1" x14ac:dyDescent="0.25">
      <c r="A1006">
        <v>2</v>
      </c>
    </row>
    <row r="1007" spans="1:1" x14ac:dyDescent="0.25">
      <c r="A1007">
        <v>1</v>
      </c>
    </row>
    <row r="1008" spans="1:1" x14ac:dyDescent="0.25">
      <c r="A1008">
        <v>7</v>
      </c>
    </row>
    <row r="1009" spans="1:1" x14ac:dyDescent="0.25">
      <c r="A1009">
        <v>5</v>
      </c>
    </row>
    <row r="1010" spans="1:1" x14ac:dyDescent="0.25">
      <c r="A1010">
        <v>5</v>
      </c>
    </row>
    <row r="1011" spans="1:1" x14ac:dyDescent="0.25">
      <c r="A1011">
        <v>1</v>
      </c>
    </row>
    <row r="1012" spans="1:1" x14ac:dyDescent="0.25">
      <c r="A1012">
        <v>6</v>
      </c>
    </row>
    <row r="1013" spans="1:1" x14ac:dyDescent="0.25">
      <c r="A1013">
        <v>6</v>
      </c>
    </row>
    <row r="1014" spans="1:1" x14ac:dyDescent="0.25">
      <c r="A1014">
        <v>1</v>
      </c>
    </row>
    <row r="1015" spans="1:1" x14ac:dyDescent="0.25">
      <c r="A1015">
        <v>7</v>
      </c>
    </row>
    <row r="1016" spans="1:1" x14ac:dyDescent="0.25">
      <c r="A1016">
        <v>1</v>
      </c>
    </row>
    <row r="1017" spans="1:1" x14ac:dyDescent="0.25">
      <c r="A1017">
        <v>1</v>
      </c>
    </row>
    <row r="1018" spans="1:1" x14ac:dyDescent="0.25">
      <c r="A1018">
        <v>7</v>
      </c>
    </row>
    <row r="1019" spans="1:1" x14ac:dyDescent="0.25">
      <c r="A1019">
        <v>1</v>
      </c>
    </row>
    <row r="1020" spans="1:1" x14ac:dyDescent="0.25">
      <c r="A1020">
        <v>1</v>
      </c>
    </row>
    <row r="1021" spans="1:1" x14ac:dyDescent="0.25">
      <c r="A1021">
        <v>7</v>
      </c>
    </row>
    <row r="1022" spans="1:1" x14ac:dyDescent="0.25">
      <c r="A1022">
        <v>1</v>
      </c>
    </row>
    <row r="1023" spans="1:1" x14ac:dyDescent="0.25">
      <c r="A1023">
        <v>1</v>
      </c>
    </row>
    <row r="1024" spans="1:1" x14ac:dyDescent="0.25">
      <c r="A1024">
        <v>5</v>
      </c>
    </row>
    <row r="1025" spans="1:1" x14ac:dyDescent="0.25">
      <c r="A1025">
        <v>5</v>
      </c>
    </row>
    <row r="1026" spans="1:1" x14ac:dyDescent="0.25">
      <c r="A1026">
        <v>1</v>
      </c>
    </row>
    <row r="1027" spans="1:1" x14ac:dyDescent="0.25">
      <c r="A1027">
        <v>1</v>
      </c>
    </row>
    <row r="1028" spans="1:1" x14ac:dyDescent="0.25">
      <c r="A1028">
        <v>7</v>
      </c>
    </row>
    <row r="1029" spans="1:1" x14ac:dyDescent="0.25">
      <c r="A1029">
        <v>7</v>
      </c>
    </row>
    <row r="1030" spans="1:1" x14ac:dyDescent="0.25">
      <c r="A1030">
        <v>1</v>
      </c>
    </row>
    <row r="1031" spans="1:1" x14ac:dyDescent="0.25">
      <c r="A1031">
        <v>4</v>
      </c>
    </row>
    <row r="1032" spans="1:1" x14ac:dyDescent="0.25">
      <c r="A1032">
        <v>1</v>
      </c>
    </row>
    <row r="1033" spans="1:1" x14ac:dyDescent="0.25">
      <c r="A1033">
        <v>1</v>
      </c>
    </row>
    <row r="1034" spans="1:1" x14ac:dyDescent="0.25">
      <c r="A1034">
        <v>5</v>
      </c>
    </row>
    <row r="1035" spans="1:1" x14ac:dyDescent="0.25">
      <c r="A1035">
        <v>7</v>
      </c>
    </row>
    <row r="1036" spans="1:1" x14ac:dyDescent="0.25">
      <c r="A1036">
        <v>1</v>
      </c>
    </row>
    <row r="1037" spans="1:1" x14ac:dyDescent="0.25">
      <c r="A1037">
        <v>1</v>
      </c>
    </row>
    <row r="1038" spans="1:1" x14ac:dyDescent="0.25">
      <c r="A1038">
        <v>5</v>
      </c>
    </row>
    <row r="1039" spans="1:1" x14ac:dyDescent="0.25">
      <c r="A1039">
        <v>1</v>
      </c>
    </row>
    <row r="1040" spans="1:1" x14ac:dyDescent="0.25">
      <c r="A1040">
        <v>5</v>
      </c>
    </row>
    <row r="1041" spans="1:1" x14ac:dyDescent="0.25">
      <c r="A1041">
        <v>1</v>
      </c>
    </row>
    <row r="1042" spans="1:1" x14ac:dyDescent="0.25">
      <c r="A1042">
        <v>1</v>
      </c>
    </row>
    <row r="1043" spans="1:1" x14ac:dyDescent="0.25">
      <c r="A1043">
        <v>5</v>
      </c>
    </row>
    <row r="1044" spans="1:1" x14ac:dyDescent="0.25">
      <c r="A1044">
        <v>1</v>
      </c>
    </row>
    <row r="1045" spans="1:1" x14ac:dyDescent="0.25">
      <c r="A1045">
        <v>1</v>
      </c>
    </row>
    <row r="1046" spans="1:1" x14ac:dyDescent="0.25">
      <c r="A1046">
        <v>5</v>
      </c>
    </row>
    <row r="1047" spans="1:1" x14ac:dyDescent="0.25">
      <c r="A1047">
        <v>4</v>
      </c>
    </row>
    <row r="1048" spans="1:1" x14ac:dyDescent="0.25">
      <c r="A1048">
        <v>5</v>
      </c>
    </row>
    <row r="1049" spans="1:1" x14ac:dyDescent="0.25">
      <c r="A1049">
        <v>5</v>
      </c>
    </row>
    <row r="1050" spans="1:1" x14ac:dyDescent="0.25">
      <c r="A1050">
        <v>5</v>
      </c>
    </row>
    <row r="1051" spans="1:1" x14ac:dyDescent="0.25">
      <c r="A1051">
        <v>5</v>
      </c>
    </row>
    <row r="1052" spans="1:1" x14ac:dyDescent="0.25">
      <c r="A1052">
        <v>5</v>
      </c>
    </row>
    <row r="1053" spans="1:1" x14ac:dyDescent="0.25">
      <c r="A1053">
        <v>1</v>
      </c>
    </row>
    <row r="1054" spans="1:1" x14ac:dyDescent="0.25">
      <c r="A1054">
        <v>1</v>
      </c>
    </row>
    <row r="1055" spans="1:1" x14ac:dyDescent="0.25">
      <c r="A1055">
        <v>7</v>
      </c>
    </row>
    <row r="1056" spans="1:1" x14ac:dyDescent="0.25">
      <c r="A1056">
        <v>1</v>
      </c>
    </row>
    <row r="1057" spans="1:1" x14ac:dyDescent="0.25">
      <c r="A1057">
        <v>1</v>
      </c>
    </row>
    <row r="1058" spans="1:1" x14ac:dyDescent="0.25">
      <c r="A1058">
        <v>4</v>
      </c>
    </row>
    <row r="1059" spans="1:1" x14ac:dyDescent="0.25">
      <c r="A1059">
        <v>1</v>
      </c>
    </row>
    <row r="1060" spans="1:1" x14ac:dyDescent="0.25">
      <c r="A1060">
        <v>2</v>
      </c>
    </row>
    <row r="1061" spans="1:1" x14ac:dyDescent="0.25">
      <c r="A1061">
        <v>1</v>
      </c>
    </row>
    <row r="1062" spans="1:1" x14ac:dyDescent="0.25">
      <c r="A1062">
        <v>4</v>
      </c>
    </row>
    <row r="1063" spans="1:1" x14ac:dyDescent="0.25">
      <c r="A1063">
        <v>7</v>
      </c>
    </row>
    <row r="1064" spans="1:1" x14ac:dyDescent="0.25">
      <c r="A1064">
        <v>5</v>
      </c>
    </row>
    <row r="1065" spans="1:1" x14ac:dyDescent="0.25">
      <c r="A1065">
        <v>1</v>
      </c>
    </row>
    <row r="1066" spans="1:1" x14ac:dyDescent="0.25">
      <c r="A1066">
        <v>1</v>
      </c>
    </row>
    <row r="1067" spans="1:1" x14ac:dyDescent="0.25">
      <c r="A1067">
        <v>5</v>
      </c>
    </row>
    <row r="1068" spans="1:1" x14ac:dyDescent="0.25">
      <c r="A1068">
        <v>1</v>
      </c>
    </row>
    <row r="1069" spans="1:1" x14ac:dyDescent="0.25">
      <c r="A1069">
        <v>1</v>
      </c>
    </row>
    <row r="1070" spans="1:1" x14ac:dyDescent="0.25">
      <c r="A1070">
        <v>1</v>
      </c>
    </row>
    <row r="1071" spans="1:1" x14ac:dyDescent="0.25">
      <c r="A1071">
        <v>2</v>
      </c>
    </row>
    <row r="1072" spans="1:1" x14ac:dyDescent="0.25">
      <c r="A1072">
        <v>5</v>
      </c>
    </row>
    <row r="1073" spans="1:1" x14ac:dyDescent="0.25">
      <c r="A1073">
        <v>5</v>
      </c>
    </row>
    <row r="1074" spans="1:1" x14ac:dyDescent="0.25">
      <c r="A1074">
        <v>1</v>
      </c>
    </row>
    <row r="1075" spans="1:1" x14ac:dyDescent="0.25">
      <c r="A1075">
        <v>7</v>
      </c>
    </row>
    <row r="1076" spans="1:1" x14ac:dyDescent="0.25">
      <c r="A1076">
        <v>1</v>
      </c>
    </row>
    <row r="1077" spans="1:1" x14ac:dyDescent="0.25">
      <c r="A1077">
        <v>5</v>
      </c>
    </row>
    <row r="1078" spans="1:1" x14ac:dyDescent="0.25">
      <c r="A1078">
        <v>2</v>
      </c>
    </row>
    <row r="1079" spans="1:1" x14ac:dyDescent="0.25">
      <c r="A1079">
        <v>5</v>
      </c>
    </row>
    <row r="1080" spans="1:1" x14ac:dyDescent="0.25">
      <c r="A1080">
        <v>7</v>
      </c>
    </row>
    <row r="1081" spans="1:1" x14ac:dyDescent="0.25">
      <c r="A1081">
        <v>1</v>
      </c>
    </row>
    <row r="1082" spans="1:1" x14ac:dyDescent="0.25">
      <c r="A1082">
        <v>1</v>
      </c>
    </row>
    <row r="1083" spans="1:1" x14ac:dyDescent="0.25">
      <c r="A1083">
        <v>5</v>
      </c>
    </row>
    <row r="1084" spans="1:1" x14ac:dyDescent="0.25">
      <c r="A1084">
        <v>5</v>
      </c>
    </row>
    <row r="1085" spans="1:1" x14ac:dyDescent="0.25">
      <c r="A1085">
        <v>3</v>
      </c>
    </row>
    <row r="1086" spans="1:1" x14ac:dyDescent="0.25">
      <c r="A1086">
        <v>6</v>
      </c>
    </row>
    <row r="1087" spans="1:1" x14ac:dyDescent="0.25">
      <c r="A1087">
        <v>1</v>
      </c>
    </row>
    <row r="1088" spans="1:1" x14ac:dyDescent="0.25">
      <c r="A1088">
        <v>2</v>
      </c>
    </row>
    <row r="1089" spans="1:1" x14ac:dyDescent="0.25">
      <c r="A1089">
        <v>1</v>
      </c>
    </row>
    <row r="1090" spans="1:1" x14ac:dyDescent="0.25">
      <c r="A1090">
        <v>3</v>
      </c>
    </row>
    <row r="1091" spans="1:1" x14ac:dyDescent="0.25">
      <c r="A1091">
        <v>5</v>
      </c>
    </row>
    <row r="1092" spans="1:1" x14ac:dyDescent="0.25">
      <c r="A1092">
        <v>6</v>
      </c>
    </row>
    <row r="1093" spans="1:1" x14ac:dyDescent="0.25">
      <c r="A1093">
        <v>1</v>
      </c>
    </row>
    <row r="1094" spans="1:1" x14ac:dyDescent="0.25">
      <c r="A1094">
        <v>1</v>
      </c>
    </row>
    <row r="1095" spans="1:1" x14ac:dyDescent="0.25">
      <c r="A1095">
        <v>7</v>
      </c>
    </row>
    <row r="1096" spans="1:1" x14ac:dyDescent="0.25">
      <c r="A1096">
        <v>5</v>
      </c>
    </row>
    <row r="1097" spans="1:1" x14ac:dyDescent="0.25">
      <c r="A1097">
        <v>6</v>
      </c>
    </row>
    <row r="1098" spans="1:1" x14ac:dyDescent="0.25">
      <c r="A1098">
        <v>5</v>
      </c>
    </row>
    <row r="1099" spans="1:1" x14ac:dyDescent="0.25">
      <c r="A1099">
        <v>1</v>
      </c>
    </row>
    <row r="1100" spans="1:1" x14ac:dyDescent="0.25">
      <c r="A1100">
        <v>1</v>
      </c>
    </row>
    <row r="1101" spans="1:1" x14ac:dyDescent="0.25">
      <c r="A1101">
        <v>5</v>
      </c>
    </row>
    <row r="1102" spans="1:1" x14ac:dyDescent="0.25">
      <c r="A1102">
        <v>1</v>
      </c>
    </row>
    <row r="1103" spans="1:1" x14ac:dyDescent="0.25">
      <c r="A1103">
        <v>1</v>
      </c>
    </row>
    <row r="1104" spans="1:1" x14ac:dyDescent="0.25">
      <c r="A1104">
        <v>1</v>
      </c>
    </row>
    <row r="1105" spans="1:1" x14ac:dyDescent="0.25">
      <c r="A1105">
        <v>5</v>
      </c>
    </row>
    <row r="1106" spans="1:1" x14ac:dyDescent="0.25">
      <c r="A1106">
        <v>5</v>
      </c>
    </row>
    <row r="1107" spans="1:1" x14ac:dyDescent="0.25">
      <c r="A1107">
        <v>1</v>
      </c>
    </row>
    <row r="1108" spans="1:1" x14ac:dyDescent="0.25">
      <c r="A1108">
        <v>1</v>
      </c>
    </row>
    <row r="1109" spans="1:1" x14ac:dyDescent="0.25">
      <c r="A1109">
        <v>1</v>
      </c>
    </row>
    <row r="1110" spans="1:1" x14ac:dyDescent="0.25">
      <c r="A1110">
        <v>1</v>
      </c>
    </row>
    <row r="1111" spans="1:1" x14ac:dyDescent="0.25">
      <c r="A1111">
        <v>2</v>
      </c>
    </row>
    <row r="1112" spans="1:1" x14ac:dyDescent="0.25">
      <c r="A1112">
        <v>1</v>
      </c>
    </row>
    <row r="1113" spans="1:1" x14ac:dyDescent="0.25">
      <c r="A1113">
        <v>5</v>
      </c>
    </row>
    <row r="1114" spans="1:1" x14ac:dyDescent="0.25">
      <c r="A1114">
        <v>1</v>
      </c>
    </row>
    <row r="1115" spans="1:1" x14ac:dyDescent="0.25">
      <c r="A1115">
        <v>1</v>
      </c>
    </row>
    <row r="1116" spans="1:1" x14ac:dyDescent="0.25">
      <c r="A1116">
        <v>1</v>
      </c>
    </row>
    <row r="1117" spans="1:1" x14ac:dyDescent="0.25">
      <c r="A1117">
        <v>1</v>
      </c>
    </row>
    <row r="1118" spans="1:1" x14ac:dyDescent="0.25">
      <c r="A1118">
        <v>1</v>
      </c>
    </row>
    <row r="1119" spans="1:1" x14ac:dyDescent="0.25">
      <c r="A1119">
        <v>1</v>
      </c>
    </row>
    <row r="1120" spans="1:1" x14ac:dyDescent="0.25">
      <c r="A1120">
        <v>1</v>
      </c>
    </row>
    <row r="1121" spans="1:1" x14ac:dyDescent="0.25">
      <c r="A1121">
        <v>1</v>
      </c>
    </row>
    <row r="1122" spans="1:1" x14ac:dyDescent="0.25">
      <c r="A1122">
        <v>5</v>
      </c>
    </row>
    <row r="1123" spans="1:1" x14ac:dyDescent="0.25">
      <c r="A1123">
        <v>2</v>
      </c>
    </row>
    <row r="1124" spans="1:1" x14ac:dyDescent="0.25">
      <c r="A1124">
        <v>7</v>
      </c>
    </row>
    <row r="1125" spans="1:1" x14ac:dyDescent="0.25">
      <c r="A1125">
        <v>4</v>
      </c>
    </row>
    <row r="1126" spans="1:1" x14ac:dyDescent="0.25">
      <c r="A1126">
        <v>1</v>
      </c>
    </row>
    <row r="1127" spans="1:1" x14ac:dyDescent="0.25">
      <c r="A1127">
        <v>7</v>
      </c>
    </row>
    <row r="1128" spans="1:1" x14ac:dyDescent="0.25">
      <c r="A1128">
        <v>1</v>
      </c>
    </row>
    <row r="1129" spans="1:1" x14ac:dyDescent="0.25">
      <c r="A1129">
        <v>1</v>
      </c>
    </row>
    <row r="1130" spans="1:1" x14ac:dyDescent="0.25">
      <c r="A1130">
        <v>1</v>
      </c>
    </row>
    <row r="1131" spans="1:1" x14ac:dyDescent="0.25">
      <c r="A1131">
        <v>1</v>
      </c>
    </row>
    <row r="1132" spans="1:1" x14ac:dyDescent="0.25">
      <c r="A1132">
        <v>7</v>
      </c>
    </row>
    <row r="1133" spans="1:1" x14ac:dyDescent="0.25">
      <c r="A1133">
        <v>5</v>
      </c>
    </row>
    <row r="1134" spans="1:1" x14ac:dyDescent="0.25">
      <c r="A1134">
        <v>1</v>
      </c>
    </row>
    <row r="1135" spans="1:1" x14ac:dyDescent="0.25">
      <c r="A1135">
        <v>1</v>
      </c>
    </row>
    <row r="1136" spans="1:1" x14ac:dyDescent="0.25">
      <c r="A1136">
        <v>5</v>
      </c>
    </row>
    <row r="1137" spans="1:1" x14ac:dyDescent="0.25">
      <c r="A1137">
        <v>5</v>
      </c>
    </row>
    <row r="1138" spans="1:1" x14ac:dyDescent="0.25">
      <c r="A1138">
        <v>1</v>
      </c>
    </row>
    <row r="1139" spans="1:1" x14ac:dyDescent="0.25">
      <c r="A1139">
        <v>7</v>
      </c>
    </row>
    <row r="1140" spans="1:1" x14ac:dyDescent="0.25">
      <c r="A1140">
        <v>8</v>
      </c>
    </row>
    <row r="1141" spans="1:1" x14ac:dyDescent="0.25">
      <c r="A1141">
        <v>5</v>
      </c>
    </row>
    <row r="1142" spans="1:1" x14ac:dyDescent="0.25">
      <c r="A1142">
        <v>1</v>
      </c>
    </row>
    <row r="1143" spans="1:1" x14ac:dyDescent="0.25">
      <c r="A1143">
        <v>2</v>
      </c>
    </row>
    <row r="1144" spans="1:1" x14ac:dyDescent="0.25">
      <c r="A1144">
        <v>1</v>
      </c>
    </row>
    <row r="1145" spans="1:1" x14ac:dyDescent="0.25">
      <c r="A1145">
        <v>1</v>
      </c>
    </row>
    <row r="1146" spans="1:1" x14ac:dyDescent="0.25">
      <c r="A1146">
        <v>1</v>
      </c>
    </row>
    <row r="1147" spans="1:1" x14ac:dyDescent="0.25">
      <c r="A1147">
        <v>7</v>
      </c>
    </row>
    <row r="1148" spans="1:1" x14ac:dyDescent="0.25">
      <c r="A1148">
        <v>1</v>
      </c>
    </row>
    <row r="1149" spans="1:1" x14ac:dyDescent="0.25">
      <c r="A1149">
        <v>1</v>
      </c>
    </row>
    <row r="1150" spans="1:1" x14ac:dyDescent="0.25">
      <c r="A1150">
        <v>1</v>
      </c>
    </row>
    <row r="1151" spans="1:1" x14ac:dyDescent="0.25">
      <c r="A1151">
        <v>8</v>
      </c>
    </row>
    <row r="1152" spans="1:1" x14ac:dyDescent="0.25">
      <c r="A1152">
        <v>1</v>
      </c>
    </row>
    <row r="1153" spans="1:1" x14ac:dyDescent="0.25">
      <c r="A1153">
        <v>5</v>
      </c>
    </row>
    <row r="1154" spans="1:1" x14ac:dyDescent="0.25">
      <c r="A1154">
        <v>1</v>
      </c>
    </row>
    <row r="1155" spans="1:1" x14ac:dyDescent="0.25">
      <c r="A1155">
        <v>7</v>
      </c>
    </row>
    <row r="1156" spans="1:1" x14ac:dyDescent="0.25">
      <c r="A1156">
        <v>7</v>
      </c>
    </row>
    <row r="1157" spans="1:1" x14ac:dyDescent="0.25">
      <c r="A1157">
        <v>1</v>
      </c>
    </row>
    <row r="1158" spans="1:1" x14ac:dyDescent="0.25">
      <c r="A1158">
        <v>1</v>
      </c>
    </row>
    <row r="1159" spans="1:1" x14ac:dyDescent="0.25">
      <c r="A1159">
        <v>1</v>
      </c>
    </row>
    <row r="1160" spans="1:1" x14ac:dyDescent="0.25">
      <c r="A1160">
        <v>1</v>
      </c>
    </row>
    <row r="1161" spans="1:1" x14ac:dyDescent="0.25">
      <c r="A1161">
        <v>4</v>
      </c>
    </row>
    <row r="1162" spans="1:1" x14ac:dyDescent="0.25">
      <c r="A1162">
        <v>1</v>
      </c>
    </row>
    <row r="1163" spans="1:1" x14ac:dyDescent="0.25">
      <c r="A1163">
        <v>2</v>
      </c>
    </row>
    <row r="1164" spans="1:1" x14ac:dyDescent="0.25">
      <c r="A1164">
        <v>5</v>
      </c>
    </row>
    <row r="1165" spans="1:1" x14ac:dyDescent="0.25">
      <c r="A1165">
        <v>6</v>
      </c>
    </row>
    <row r="1166" spans="1:1" x14ac:dyDescent="0.25">
      <c r="A1166">
        <v>5</v>
      </c>
    </row>
    <row r="1167" spans="1:1" x14ac:dyDescent="0.25">
      <c r="A1167">
        <v>1</v>
      </c>
    </row>
    <row r="1168" spans="1:1" x14ac:dyDescent="0.25">
      <c r="A1168">
        <v>1</v>
      </c>
    </row>
    <row r="1169" spans="1:1" x14ac:dyDescent="0.25">
      <c r="A1169">
        <v>1</v>
      </c>
    </row>
    <row r="1170" spans="1:1" x14ac:dyDescent="0.25">
      <c r="A1170">
        <v>1</v>
      </c>
    </row>
    <row r="1171" spans="1:1" x14ac:dyDescent="0.25">
      <c r="A1171">
        <v>1</v>
      </c>
    </row>
    <row r="1172" spans="1:1" x14ac:dyDescent="0.25">
      <c r="A1172">
        <v>5</v>
      </c>
    </row>
    <row r="1173" spans="1:1" x14ac:dyDescent="0.25">
      <c r="A1173">
        <v>1</v>
      </c>
    </row>
    <row r="1174" spans="1:1" x14ac:dyDescent="0.25">
      <c r="A1174">
        <v>5</v>
      </c>
    </row>
    <row r="1175" spans="1:1" x14ac:dyDescent="0.25">
      <c r="A1175">
        <v>7</v>
      </c>
    </row>
    <row r="1176" spans="1:1" x14ac:dyDescent="0.25">
      <c r="A1176">
        <v>8</v>
      </c>
    </row>
    <row r="1177" spans="1:1" x14ac:dyDescent="0.25">
      <c r="A1177">
        <v>1</v>
      </c>
    </row>
    <row r="1178" spans="1:1" x14ac:dyDescent="0.25">
      <c r="A1178">
        <v>7</v>
      </c>
    </row>
    <row r="1179" spans="1:1" x14ac:dyDescent="0.25">
      <c r="A1179">
        <v>2</v>
      </c>
    </row>
    <row r="1180" spans="1:1" x14ac:dyDescent="0.25">
      <c r="A1180">
        <v>2</v>
      </c>
    </row>
    <row r="1181" spans="1:1" x14ac:dyDescent="0.25">
      <c r="A1181">
        <v>1</v>
      </c>
    </row>
    <row r="1182" spans="1:1" x14ac:dyDescent="0.25">
      <c r="A1182">
        <v>7</v>
      </c>
    </row>
    <row r="1183" spans="1:1" x14ac:dyDescent="0.25">
      <c r="A1183">
        <v>2</v>
      </c>
    </row>
    <row r="1184" spans="1:1" x14ac:dyDescent="0.25">
      <c r="A1184">
        <v>6</v>
      </c>
    </row>
    <row r="1185" spans="1:1" x14ac:dyDescent="0.25">
      <c r="A1185">
        <v>1</v>
      </c>
    </row>
    <row r="1186" spans="1:1" x14ac:dyDescent="0.25">
      <c r="A1186">
        <v>1</v>
      </c>
    </row>
    <row r="1187" spans="1:1" x14ac:dyDescent="0.25">
      <c r="A1187">
        <v>5</v>
      </c>
    </row>
    <row r="1188" spans="1:1" x14ac:dyDescent="0.25">
      <c r="A1188">
        <v>1</v>
      </c>
    </row>
    <row r="1189" spans="1:1" x14ac:dyDescent="0.25">
      <c r="A1189">
        <v>3</v>
      </c>
    </row>
    <row r="1190" spans="1:1" x14ac:dyDescent="0.25">
      <c r="A1190">
        <v>8</v>
      </c>
    </row>
    <row r="1191" spans="1:1" x14ac:dyDescent="0.25">
      <c r="A1191">
        <v>5</v>
      </c>
    </row>
    <row r="1192" spans="1:1" x14ac:dyDescent="0.25">
      <c r="A1192">
        <v>1</v>
      </c>
    </row>
    <row r="1193" spans="1:1" x14ac:dyDescent="0.25">
      <c r="A1193">
        <v>1</v>
      </c>
    </row>
    <row r="1194" spans="1:1" x14ac:dyDescent="0.25">
      <c r="A1194">
        <v>1</v>
      </c>
    </row>
    <row r="1195" spans="1:1" x14ac:dyDescent="0.25">
      <c r="A1195">
        <v>5</v>
      </c>
    </row>
    <row r="1196" spans="1:1" x14ac:dyDescent="0.25">
      <c r="A1196">
        <v>1</v>
      </c>
    </row>
    <row r="1197" spans="1:1" x14ac:dyDescent="0.25">
      <c r="A1197">
        <v>5</v>
      </c>
    </row>
    <row r="1198" spans="1:1" x14ac:dyDescent="0.25">
      <c r="A1198">
        <v>1</v>
      </c>
    </row>
    <row r="1199" spans="1:1" x14ac:dyDescent="0.25">
      <c r="A1199">
        <v>1</v>
      </c>
    </row>
    <row r="1200" spans="1:1" x14ac:dyDescent="0.25">
      <c r="A1200">
        <v>4</v>
      </c>
    </row>
    <row r="1201" spans="1:1" x14ac:dyDescent="0.25">
      <c r="A1201">
        <v>6</v>
      </c>
    </row>
    <row r="1202" spans="1:1" x14ac:dyDescent="0.25">
      <c r="A1202">
        <v>1</v>
      </c>
    </row>
    <row r="1203" spans="1:1" x14ac:dyDescent="0.25">
      <c r="A1203">
        <v>3</v>
      </c>
    </row>
    <row r="1204" spans="1:1" x14ac:dyDescent="0.25">
      <c r="A1204">
        <v>5</v>
      </c>
    </row>
    <row r="1205" spans="1:1" x14ac:dyDescent="0.25">
      <c r="A1205">
        <v>2</v>
      </c>
    </row>
    <row r="1206" spans="1:1" x14ac:dyDescent="0.25">
      <c r="A1206">
        <v>1</v>
      </c>
    </row>
    <row r="1207" spans="1:1" x14ac:dyDescent="0.25">
      <c r="A1207">
        <v>5</v>
      </c>
    </row>
    <row r="1208" spans="1:1" x14ac:dyDescent="0.25">
      <c r="A1208">
        <v>2</v>
      </c>
    </row>
    <row r="1209" spans="1:1" x14ac:dyDescent="0.25">
      <c r="A1209">
        <v>1</v>
      </c>
    </row>
    <row r="1210" spans="1:1" x14ac:dyDescent="0.25">
      <c r="A1210">
        <v>2</v>
      </c>
    </row>
    <row r="1211" spans="1:1" x14ac:dyDescent="0.25">
      <c r="A1211">
        <v>1</v>
      </c>
    </row>
    <row r="1212" spans="1:1" x14ac:dyDescent="0.25">
      <c r="A1212">
        <v>1</v>
      </c>
    </row>
    <row r="1213" spans="1:1" x14ac:dyDescent="0.25">
      <c r="A1213">
        <v>5</v>
      </c>
    </row>
    <row r="1214" spans="1:1" x14ac:dyDescent="0.25">
      <c r="A1214">
        <v>2</v>
      </c>
    </row>
    <row r="1215" spans="1:1" x14ac:dyDescent="0.25">
      <c r="A1215">
        <v>1</v>
      </c>
    </row>
    <row r="1216" spans="1:1" x14ac:dyDescent="0.25">
      <c r="A1216">
        <v>6</v>
      </c>
    </row>
    <row r="1217" spans="1:1" x14ac:dyDescent="0.25">
      <c r="A1217">
        <v>2</v>
      </c>
    </row>
    <row r="1218" spans="1:1" x14ac:dyDescent="0.25">
      <c r="A1218">
        <v>1</v>
      </c>
    </row>
    <row r="1219" spans="1:1" x14ac:dyDescent="0.25">
      <c r="A1219">
        <v>7</v>
      </c>
    </row>
    <row r="1220" spans="1:1" x14ac:dyDescent="0.25">
      <c r="A1220">
        <v>1</v>
      </c>
    </row>
    <row r="1221" spans="1:1" x14ac:dyDescent="0.25">
      <c r="A1221">
        <v>7</v>
      </c>
    </row>
    <row r="1222" spans="1:1" x14ac:dyDescent="0.25">
      <c r="A1222">
        <v>5</v>
      </c>
    </row>
    <row r="1223" spans="1:1" x14ac:dyDescent="0.25">
      <c r="A1223">
        <v>1</v>
      </c>
    </row>
    <row r="1224" spans="1:1" x14ac:dyDescent="0.25">
      <c r="A1224">
        <v>7</v>
      </c>
    </row>
    <row r="1225" spans="1:1" x14ac:dyDescent="0.25">
      <c r="A1225">
        <v>1</v>
      </c>
    </row>
    <row r="1226" spans="1:1" x14ac:dyDescent="0.25">
      <c r="A1226">
        <v>1</v>
      </c>
    </row>
    <row r="1227" spans="1:1" x14ac:dyDescent="0.25">
      <c r="A1227">
        <v>1</v>
      </c>
    </row>
    <row r="1228" spans="1:1" x14ac:dyDescent="0.25">
      <c r="A1228">
        <v>1</v>
      </c>
    </row>
    <row r="1229" spans="1:1" x14ac:dyDescent="0.25">
      <c r="A1229">
        <v>7</v>
      </c>
    </row>
    <row r="1230" spans="1:1" x14ac:dyDescent="0.25">
      <c r="A1230">
        <v>3</v>
      </c>
    </row>
    <row r="1231" spans="1:1" x14ac:dyDescent="0.25">
      <c r="A1231">
        <v>1</v>
      </c>
    </row>
    <row r="1232" spans="1:1" x14ac:dyDescent="0.25">
      <c r="A1232">
        <v>1</v>
      </c>
    </row>
    <row r="1233" spans="1:1" x14ac:dyDescent="0.25">
      <c r="A1233">
        <v>1</v>
      </c>
    </row>
    <row r="1234" spans="1:1" x14ac:dyDescent="0.25">
      <c r="A1234">
        <v>1</v>
      </c>
    </row>
    <row r="1235" spans="1:1" x14ac:dyDescent="0.25">
      <c r="A1235">
        <v>7</v>
      </c>
    </row>
    <row r="1236" spans="1:1" x14ac:dyDescent="0.25">
      <c r="A1236">
        <v>1</v>
      </c>
    </row>
    <row r="1237" spans="1:1" x14ac:dyDescent="0.25">
      <c r="A1237">
        <v>1</v>
      </c>
    </row>
    <row r="1238" spans="1:1" x14ac:dyDescent="0.25">
      <c r="A1238">
        <v>2</v>
      </c>
    </row>
    <row r="1239" spans="1:1" x14ac:dyDescent="0.25">
      <c r="A1239">
        <v>3</v>
      </c>
    </row>
    <row r="1240" spans="1:1" x14ac:dyDescent="0.25">
      <c r="A1240">
        <v>5</v>
      </c>
    </row>
    <row r="1241" spans="1:1" x14ac:dyDescent="0.25">
      <c r="A1241">
        <v>1</v>
      </c>
    </row>
    <row r="1242" spans="1:1" x14ac:dyDescent="0.25">
      <c r="A1242">
        <v>1</v>
      </c>
    </row>
    <row r="1243" spans="1:1" x14ac:dyDescent="0.25">
      <c r="A1243">
        <v>1</v>
      </c>
    </row>
    <row r="1244" spans="1:1" x14ac:dyDescent="0.25">
      <c r="A1244">
        <v>1</v>
      </c>
    </row>
    <row r="1245" spans="1:1" x14ac:dyDescent="0.25">
      <c r="A1245">
        <v>1</v>
      </c>
    </row>
    <row r="1246" spans="1:1" x14ac:dyDescent="0.25">
      <c r="A1246">
        <v>5</v>
      </c>
    </row>
    <row r="1247" spans="1:1" x14ac:dyDescent="0.25">
      <c r="A1247">
        <v>2</v>
      </c>
    </row>
    <row r="1248" spans="1:1" x14ac:dyDescent="0.25">
      <c r="A1248">
        <v>7</v>
      </c>
    </row>
    <row r="1249" spans="1:1" x14ac:dyDescent="0.25">
      <c r="A1249">
        <v>4</v>
      </c>
    </row>
    <row r="1250" spans="1:1" x14ac:dyDescent="0.25">
      <c r="A1250">
        <v>1</v>
      </c>
    </row>
    <row r="1251" spans="1:1" x14ac:dyDescent="0.25">
      <c r="A1251">
        <v>2</v>
      </c>
    </row>
    <row r="1252" spans="1:1" x14ac:dyDescent="0.25">
      <c r="A1252">
        <v>5</v>
      </c>
    </row>
    <row r="1253" spans="1:1" x14ac:dyDescent="0.25">
      <c r="A1253">
        <v>2</v>
      </c>
    </row>
    <row r="1254" spans="1:1" x14ac:dyDescent="0.25">
      <c r="A1254">
        <v>1</v>
      </c>
    </row>
    <row r="1255" spans="1:1" x14ac:dyDescent="0.25">
      <c r="A1255">
        <v>1</v>
      </c>
    </row>
    <row r="1256" spans="1:1" x14ac:dyDescent="0.25">
      <c r="A1256">
        <v>2</v>
      </c>
    </row>
    <row r="1257" spans="1:1" x14ac:dyDescent="0.25">
      <c r="A1257">
        <v>5</v>
      </c>
    </row>
    <row r="1258" spans="1:1" x14ac:dyDescent="0.25">
      <c r="A1258">
        <v>5</v>
      </c>
    </row>
    <row r="1259" spans="1:1" x14ac:dyDescent="0.25">
      <c r="A1259">
        <v>1</v>
      </c>
    </row>
    <row r="1260" spans="1:1" x14ac:dyDescent="0.25">
      <c r="A1260">
        <v>5</v>
      </c>
    </row>
    <row r="1261" spans="1:1" x14ac:dyDescent="0.25">
      <c r="A1261">
        <v>2</v>
      </c>
    </row>
    <row r="1262" spans="1:1" x14ac:dyDescent="0.25">
      <c r="A1262">
        <v>1</v>
      </c>
    </row>
    <row r="1263" spans="1:1" x14ac:dyDescent="0.25">
      <c r="A1263">
        <v>1</v>
      </c>
    </row>
    <row r="1264" spans="1:1" x14ac:dyDescent="0.25">
      <c r="A1264">
        <v>1</v>
      </c>
    </row>
    <row r="1265" spans="1:1" x14ac:dyDescent="0.25">
      <c r="A1265">
        <v>1</v>
      </c>
    </row>
    <row r="1266" spans="1:1" x14ac:dyDescent="0.25">
      <c r="A1266">
        <v>1</v>
      </c>
    </row>
    <row r="1267" spans="1:1" x14ac:dyDescent="0.25">
      <c r="A1267">
        <v>8</v>
      </c>
    </row>
    <row r="1268" spans="1:1" x14ac:dyDescent="0.25">
      <c r="A1268">
        <v>1</v>
      </c>
    </row>
    <row r="1269" spans="1:1" x14ac:dyDescent="0.25">
      <c r="A1269">
        <v>4</v>
      </c>
    </row>
    <row r="1270" spans="1:1" x14ac:dyDescent="0.25">
      <c r="A1270">
        <v>2</v>
      </c>
    </row>
    <row r="1271" spans="1:1" x14ac:dyDescent="0.25">
      <c r="A1271">
        <v>1</v>
      </c>
    </row>
    <row r="1272" spans="1:1" x14ac:dyDescent="0.25">
      <c r="A1272">
        <v>2</v>
      </c>
    </row>
    <row r="1273" spans="1:1" x14ac:dyDescent="0.25">
      <c r="A1273">
        <v>1</v>
      </c>
    </row>
    <row r="1274" spans="1:1" x14ac:dyDescent="0.25">
      <c r="A1274">
        <v>4</v>
      </c>
    </row>
    <row r="1275" spans="1:1" x14ac:dyDescent="0.25">
      <c r="A1275">
        <v>1</v>
      </c>
    </row>
    <row r="1276" spans="1:1" x14ac:dyDescent="0.25">
      <c r="A1276">
        <v>1</v>
      </c>
    </row>
    <row r="1277" spans="1:1" x14ac:dyDescent="0.25">
      <c r="A1277">
        <v>6</v>
      </c>
    </row>
    <row r="1278" spans="1:1" x14ac:dyDescent="0.25">
      <c r="A1278">
        <v>4</v>
      </c>
    </row>
    <row r="1279" spans="1:1" x14ac:dyDescent="0.25">
      <c r="A1279">
        <v>7</v>
      </c>
    </row>
    <row r="1280" spans="1:1" x14ac:dyDescent="0.25">
      <c r="A1280">
        <v>2</v>
      </c>
    </row>
    <row r="1281" spans="1:1" x14ac:dyDescent="0.25">
      <c r="A1281">
        <v>1</v>
      </c>
    </row>
    <row r="1282" spans="1:1" x14ac:dyDescent="0.25">
      <c r="A1282">
        <v>1</v>
      </c>
    </row>
    <row r="1283" spans="1:1" x14ac:dyDescent="0.25">
      <c r="A1283">
        <v>5</v>
      </c>
    </row>
    <row r="1284" spans="1:1" x14ac:dyDescent="0.25">
      <c r="A1284">
        <v>1</v>
      </c>
    </row>
    <row r="1285" spans="1:1" x14ac:dyDescent="0.25">
      <c r="A1285">
        <v>4</v>
      </c>
    </row>
    <row r="1286" spans="1:1" x14ac:dyDescent="0.25">
      <c r="A1286">
        <v>4</v>
      </c>
    </row>
    <row r="1287" spans="1:1" x14ac:dyDescent="0.25">
      <c r="A1287">
        <v>1</v>
      </c>
    </row>
    <row r="1288" spans="1:1" x14ac:dyDescent="0.25">
      <c r="A1288">
        <v>1</v>
      </c>
    </row>
    <row r="1289" spans="1:1" x14ac:dyDescent="0.25">
      <c r="A1289">
        <v>7</v>
      </c>
    </row>
    <row r="1290" spans="1:1" x14ac:dyDescent="0.25">
      <c r="A1290">
        <v>5</v>
      </c>
    </row>
    <row r="1291" spans="1:1" x14ac:dyDescent="0.25">
      <c r="A1291">
        <v>4</v>
      </c>
    </row>
    <row r="1292" spans="1:1" x14ac:dyDescent="0.25">
      <c r="A1292">
        <v>6</v>
      </c>
    </row>
    <row r="1293" spans="1:1" x14ac:dyDescent="0.25">
      <c r="A1293">
        <v>2</v>
      </c>
    </row>
    <row r="1294" spans="1:1" x14ac:dyDescent="0.25">
      <c r="A1294">
        <v>1</v>
      </c>
    </row>
    <row r="1295" spans="1:1" x14ac:dyDescent="0.25">
      <c r="A1295">
        <v>7</v>
      </c>
    </row>
    <row r="1296" spans="1:1" x14ac:dyDescent="0.25">
      <c r="A1296">
        <v>5</v>
      </c>
    </row>
    <row r="1297" spans="1:1" x14ac:dyDescent="0.25">
      <c r="A1297">
        <v>1</v>
      </c>
    </row>
    <row r="1298" spans="1:1" x14ac:dyDescent="0.25">
      <c r="A1298">
        <v>5</v>
      </c>
    </row>
    <row r="1299" spans="1:1" x14ac:dyDescent="0.25">
      <c r="A1299">
        <v>1</v>
      </c>
    </row>
    <row r="1300" spans="1:1" x14ac:dyDescent="0.25">
      <c r="A1300">
        <v>6</v>
      </c>
    </row>
    <row r="1301" spans="1:1" x14ac:dyDescent="0.25">
      <c r="A1301">
        <v>5</v>
      </c>
    </row>
    <row r="1302" spans="1:1" x14ac:dyDescent="0.25">
      <c r="A1302">
        <v>1</v>
      </c>
    </row>
    <row r="1303" spans="1:1" x14ac:dyDescent="0.25">
      <c r="A1303">
        <v>1</v>
      </c>
    </row>
    <row r="1304" spans="1:1" x14ac:dyDescent="0.25">
      <c r="A1304">
        <v>5</v>
      </c>
    </row>
    <row r="1305" spans="1:1" x14ac:dyDescent="0.25">
      <c r="A1305">
        <v>5</v>
      </c>
    </row>
    <row r="1306" spans="1:1" x14ac:dyDescent="0.25">
      <c r="A1306">
        <v>1</v>
      </c>
    </row>
    <row r="1307" spans="1:1" x14ac:dyDescent="0.25">
      <c r="A1307">
        <v>6</v>
      </c>
    </row>
    <row r="1308" spans="1:1" x14ac:dyDescent="0.25">
      <c r="A1308">
        <v>6</v>
      </c>
    </row>
    <row r="1309" spans="1:1" x14ac:dyDescent="0.25">
      <c r="A1309">
        <v>1</v>
      </c>
    </row>
    <row r="1310" spans="1:1" x14ac:dyDescent="0.25">
      <c r="A1310">
        <v>2</v>
      </c>
    </row>
    <row r="1311" spans="1:1" x14ac:dyDescent="0.25">
      <c r="A1311">
        <v>1</v>
      </c>
    </row>
    <row r="1312" spans="1:1" x14ac:dyDescent="0.25">
      <c r="A1312">
        <v>1</v>
      </c>
    </row>
    <row r="1313" spans="1:1" x14ac:dyDescent="0.25">
      <c r="A1313">
        <v>1</v>
      </c>
    </row>
    <row r="1314" spans="1:1" x14ac:dyDescent="0.25">
      <c r="A1314">
        <v>1</v>
      </c>
    </row>
    <row r="1315" spans="1:1" x14ac:dyDescent="0.25">
      <c r="A1315">
        <v>1</v>
      </c>
    </row>
    <row r="1316" spans="1:1" x14ac:dyDescent="0.25">
      <c r="A1316">
        <v>2</v>
      </c>
    </row>
    <row r="1317" spans="1:1" x14ac:dyDescent="0.25">
      <c r="A1317">
        <v>1</v>
      </c>
    </row>
    <row r="1318" spans="1:1" x14ac:dyDescent="0.25">
      <c r="A1318">
        <v>2</v>
      </c>
    </row>
    <row r="1319" spans="1:1" x14ac:dyDescent="0.25">
      <c r="A1319">
        <v>1</v>
      </c>
    </row>
    <row r="1320" spans="1:1" x14ac:dyDescent="0.25">
      <c r="A1320">
        <v>3</v>
      </c>
    </row>
    <row r="1321" spans="1:1" x14ac:dyDescent="0.25">
      <c r="A1321">
        <v>8</v>
      </c>
    </row>
    <row r="1322" spans="1:1" x14ac:dyDescent="0.25">
      <c r="A1322">
        <v>1</v>
      </c>
    </row>
    <row r="1323" spans="1:1" x14ac:dyDescent="0.25">
      <c r="A1323">
        <v>5</v>
      </c>
    </row>
    <row r="1324" spans="1:1" x14ac:dyDescent="0.25">
      <c r="A1324">
        <v>2</v>
      </c>
    </row>
    <row r="1325" spans="1:1" x14ac:dyDescent="0.25">
      <c r="A1325">
        <v>1</v>
      </c>
    </row>
    <row r="1326" spans="1:1" x14ac:dyDescent="0.25">
      <c r="A1326">
        <v>3</v>
      </c>
    </row>
    <row r="1327" spans="1:1" x14ac:dyDescent="0.25">
      <c r="A1327">
        <v>1</v>
      </c>
    </row>
    <row r="1328" spans="1:1" x14ac:dyDescent="0.25">
      <c r="A1328">
        <v>1</v>
      </c>
    </row>
    <row r="1329" spans="1:1" x14ac:dyDescent="0.25">
      <c r="A1329">
        <v>7</v>
      </c>
    </row>
    <row r="1330" spans="1:1" x14ac:dyDescent="0.25">
      <c r="A1330">
        <v>1</v>
      </c>
    </row>
    <row r="1331" spans="1:1" x14ac:dyDescent="0.25">
      <c r="A1331">
        <v>1</v>
      </c>
    </row>
    <row r="1332" spans="1:1" x14ac:dyDescent="0.25">
      <c r="A1332">
        <v>4</v>
      </c>
    </row>
    <row r="1333" spans="1:1" x14ac:dyDescent="0.25">
      <c r="A1333">
        <v>2</v>
      </c>
    </row>
    <row r="1334" spans="1:1" x14ac:dyDescent="0.25">
      <c r="A1334">
        <v>4</v>
      </c>
    </row>
    <row r="1335" spans="1:1" x14ac:dyDescent="0.25">
      <c r="A1335">
        <v>1</v>
      </c>
    </row>
    <row r="1336" spans="1:1" x14ac:dyDescent="0.25">
      <c r="A1336">
        <v>1</v>
      </c>
    </row>
    <row r="1337" spans="1:1" x14ac:dyDescent="0.25">
      <c r="A1337">
        <v>1</v>
      </c>
    </row>
    <row r="1338" spans="1:1" x14ac:dyDescent="0.25">
      <c r="A1338">
        <v>1</v>
      </c>
    </row>
    <row r="1339" spans="1:1" x14ac:dyDescent="0.25">
      <c r="A1339">
        <v>7</v>
      </c>
    </row>
    <row r="1340" spans="1:1" x14ac:dyDescent="0.25">
      <c r="A1340">
        <v>1</v>
      </c>
    </row>
    <row r="1341" spans="1:1" x14ac:dyDescent="0.25">
      <c r="A1341">
        <v>8</v>
      </c>
    </row>
    <row r="1342" spans="1:1" x14ac:dyDescent="0.25">
      <c r="A1342">
        <v>5</v>
      </c>
    </row>
    <row r="1343" spans="1:1" x14ac:dyDescent="0.25">
      <c r="A1343">
        <v>1</v>
      </c>
    </row>
    <row r="1344" spans="1:1" x14ac:dyDescent="0.25">
      <c r="A1344">
        <v>1</v>
      </c>
    </row>
    <row r="1345" spans="1:1" x14ac:dyDescent="0.25">
      <c r="A1345">
        <v>1</v>
      </c>
    </row>
    <row r="1346" spans="1:1" x14ac:dyDescent="0.25">
      <c r="A1346">
        <v>1</v>
      </c>
    </row>
    <row r="1347" spans="1:1" x14ac:dyDescent="0.25">
      <c r="A1347">
        <v>1</v>
      </c>
    </row>
    <row r="1348" spans="1:1" x14ac:dyDescent="0.25">
      <c r="A1348">
        <v>7</v>
      </c>
    </row>
    <row r="1349" spans="1:1" x14ac:dyDescent="0.25">
      <c r="A1349">
        <v>1</v>
      </c>
    </row>
    <row r="1350" spans="1:1" x14ac:dyDescent="0.25">
      <c r="A1350">
        <v>5</v>
      </c>
    </row>
    <row r="1351" spans="1:1" x14ac:dyDescent="0.25">
      <c r="A1351">
        <v>5</v>
      </c>
    </row>
    <row r="1352" spans="1:1" x14ac:dyDescent="0.25">
      <c r="A1352">
        <v>1</v>
      </c>
    </row>
    <row r="1353" spans="1:1" x14ac:dyDescent="0.25">
      <c r="A1353">
        <v>1</v>
      </c>
    </row>
    <row r="1354" spans="1:1" x14ac:dyDescent="0.25">
      <c r="A1354">
        <v>6</v>
      </c>
    </row>
    <row r="1355" spans="1:1" x14ac:dyDescent="0.25">
      <c r="A1355">
        <v>1</v>
      </c>
    </row>
    <row r="1356" spans="1:1" x14ac:dyDescent="0.25">
      <c r="A1356">
        <v>1</v>
      </c>
    </row>
    <row r="1357" spans="1:1" x14ac:dyDescent="0.25">
      <c r="A1357">
        <v>5</v>
      </c>
    </row>
    <row r="1358" spans="1:1" x14ac:dyDescent="0.25">
      <c r="A1358">
        <v>1</v>
      </c>
    </row>
    <row r="1359" spans="1:1" x14ac:dyDescent="0.25">
      <c r="A1359">
        <v>2</v>
      </c>
    </row>
    <row r="1360" spans="1:1" x14ac:dyDescent="0.25">
      <c r="A1360">
        <v>4</v>
      </c>
    </row>
    <row r="1361" spans="1:1" x14ac:dyDescent="0.25">
      <c r="A1361">
        <v>1</v>
      </c>
    </row>
    <row r="1362" spans="1:1" x14ac:dyDescent="0.25">
      <c r="A1362">
        <v>7</v>
      </c>
    </row>
    <row r="1363" spans="1:1" x14ac:dyDescent="0.25">
      <c r="A1363">
        <v>2</v>
      </c>
    </row>
    <row r="1364" spans="1:1" x14ac:dyDescent="0.25">
      <c r="A1364">
        <v>1</v>
      </c>
    </row>
    <row r="1365" spans="1:1" x14ac:dyDescent="0.25">
      <c r="A1365">
        <v>1</v>
      </c>
    </row>
    <row r="1366" spans="1:1" x14ac:dyDescent="0.25">
      <c r="A1366">
        <v>1</v>
      </c>
    </row>
    <row r="1367" spans="1:1" x14ac:dyDescent="0.25">
      <c r="A1367">
        <v>5</v>
      </c>
    </row>
    <row r="1368" spans="1:1" x14ac:dyDescent="0.25">
      <c r="A1368">
        <v>8</v>
      </c>
    </row>
    <row r="1369" spans="1:1" x14ac:dyDescent="0.25">
      <c r="A1369">
        <v>5</v>
      </c>
    </row>
    <row r="1370" spans="1:1" x14ac:dyDescent="0.25">
      <c r="A1370">
        <v>1</v>
      </c>
    </row>
    <row r="1371" spans="1:1" x14ac:dyDescent="0.25">
      <c r="A1371">
        <v>7</v>
      </c>
    </row>
    <row r="1372" spans="1:1" x14ac:dyDescent="0.25">
      <c r="A1372">
        <v>1</v>
      </c>
    </row>
    <row r="1373" spans="1:1" x14ac:dyDescent="0.25">
      <c r="A1373">
        <v>2</v>
      </c>
    </row>
    <row r="1374" spans="1:1" x14ac:dyDescent="0.25">
      <c r="A1374">
        <v>1</v>
      </c>
    </row>
    <row r="1375" spans="1:1" x14ac:dyDescent="0.25">
      <c r="A1375">
        <v>2</v>
      </c>
    </row>
    <row r="1376" spans="1:1" x14ac:dyDescent="0.25">
      <c r="A1376">
        <v>2</v>
      </c>
    </row>
    <row r="1377" spans="1:1" x14ac:dyDescent="0.25">
      <c r="A1377">
        <v>1</v>
      </c>
    </row>
    <row r="1378" spans="1:1" x14ac:dyDescent="0.25">
      <c r="A1378">
        <v>1</v>
      </c>
    </row>
    <row r="1379" spans="1:1" x14ac:dyDescent="0.25">
      <c r="A1379">
        <v>8</v>
      </c>
    </row>
    <row r="1380" spans="1:1" x14ac:dyDescent="0.25">
      <c r="A1380">
        <v>1</v>
      </c>
    </row>
    <row r="1381" spans="1:1" x14ac:dyDescent="0.25">
      <c r="A1381">
        <v>1</v>
      </c>
    </row>
    <row r="1382" spans="1:1" x14ac:dyDescent="0.25">
      <c r="A1382">
        <v>1</v>
      </c>
    </row>
    <row r="1383" spans="1:1" x14ac:dyDescent="0.25">
      <c r="A1383">
        <v>5</v>
      </c>
    </row>
    <row r="1384" spans="1:1" x14ac:dyDescent="0.25">
      <c r="A1384">
        <v>2</v>
      </c>
    </row>
    <row r="1385" spans="1:1" x14ac:dyDescent="0.25">
      <c r="A1385">
        <v>1</v>
      </c>
    </row>
    <row r="1386" spans="1:1" x14ac:dyDescent="0.25">
      <c r="A1386">
        <v>1</v>
      </c>
    </row>
    <row r="1387" spans="1:1" x14ac:dyDescent="0.25">
      <c r="A1387">
        <v>8</v>
      </c>
    </row>
    <row r="1388" spans="1:1" x14ac:dyDescent="0.25">
      <c r="A1388">
        <v>5</v>
      </c>
    </row>
    <row r="1389" spans="1:1" x14ac:dyDescent="0.25">
      <c r="A1389">
        <v>8</v>
      </c>
    </row>
    <row r="1390" spans="1:1" x14ac:dyDescent="0.25">
      <c r="A1390">
        <v>8</v>
      </c>
    </row>
    <row r="1391" spans="1:1" x14ac:dyDescent="0.25">
      <c r="A1391">
        <v>2</v>
      </c>
    </row>
    <row r="1392" spans="1:1" x14ac:dyDescent="0.25">
      <c r="A1392">
        <v>1</v>
      </c>
    </row>
    <row r="1393" spans="1:1" x14ac:dyDescent="0.25">
      <c r="A1393">
        <v>1</v>
      </c>
    </row>
    <row r="1394" spans="1:1" x14ac:dyDescent="0.25">
      <c r="A1394">
        <v>5</v>
      </c>
    </row>
    <row r="1395" spans="1:1" x14ac:dyDescent="0.25">
      <c r="A1395">
        <v>1</v>
      </c>
    </row>
    <row r="1396" spans="1:1" x14ac:dyDescent="0.25">
      <c r="A1396">
        <v>1</v>
      </c>
    </row>
    <row r="1397" spans="1:1" x14ac:dyDescent="0.25">
      <c r="A1397">
        <v>3</v>
      </c>
    </row>
    <row r="1398" spans="1:1" x14ac:dyDescent="0.25">
      <c r="A1398">
        <v>5</v>
      </c>
    </row>
    <row r="1399" spans="1:1" x14ac:dyDescent="0.25">
      <c r="A1399">
        <v>5</v>
      </c>
    </row>
    <row r="1400" spans="1:1" x14ac:dyDescent="0.25">
      <c r="A1400">
        <v>7</v>
      </c>
    </row>
    <row r="1401" spans="1:1" x14ac:dyDescent="0.25">
      <c r="A1401">
        <v>8</v>
      </c>
    </row>
    <row r="1402" spans="1:1" x14ac:dyDescent="0.25">
      <c r="A1402">
        <v>5</v>
      </c>
    </row>
    <row r="1403" spans="1:1" x14ac:dyDescent="0.25">
      <c r="A1403">
        <v>4</v>
      </c>
    </row>
    <row r="1404" spans="1:1" x14ac:dyDescent="0.25">
      <c r="A1404">
        <v>2</v>
      </c>
    </row>
    <row r="1405" spans="1:1" x14ac:dyDescent="0.25">
      <c r="A1405">
        <v>3</v>
      </c>
    </row>
    <row r="1406" spans="1:1" x14ac:dyDescent="0.25">
      <c r="A1406">
        <v>5</v>
      </c>
    </row>
    <row r="1407" spans="1:1" x14ac:dyDescent="0.25">
      <c r="A1407">
        <v>5</v>
      </c>
    </row>
    <row r="1408" spans="1:1" x14ac:dyDescent="0.25">
      <c r="A1408">
        <v>8</v>
      </c>
    </row>
    <row r="1409" spans="1:1" x14ac:dyDescent="0.25">
      <c r="A1409">
        <v>1</v>
      </c>
    </row>
    <row r="1410" spans="1:1" x14ac:dyDescent="0.25">
      <c r="A1410">
        <v>1</v>
      </c>
    </row>
    <row r="1411" spans="1:1" x14ac:dyDescent="0.25">
      <c r="A1411">
        <v>1</v>
      </c>
    </row>
    <row r="1412" spans="1:1" x14ac:dyDescent="0.25">
      <c r="A1412">
        <v>2</v>
      </c>
    </row>
    <row r="1413" spans="1:1" x14ac:dyDescent="0.25">
      <c r="A1413">
        <v>7</v>
      </c>
    </row>
    <row r="1414" spans="1:1" x14ac:dyDescent="0.25">
      <c r="A1414">
        <v>1</v>
      </c>
    </row>
    <row r="1415" spans="1:1" x14ac:dyDescent="0.25">
      <c r="A1415">
        <v>2</v>
      </c>
    </row>
    <row r="1416" spans="1:1" x14ac:dyDescent="0.25">
      <c r="A1416">
        <v>8</v>
      </c>
    </row>
    <row r="1417" spans="1:1" x14ac:dyDescent="0.25">
      <c r="A1417">
        <v>1</v>
      </c>
    </row>
    <row r="1418" spans="1:1" x14ac:dyDescent="0.25">
      <c r="A1418">
        <v>1</v>
      </c>
    </row>
    <row r="1419" spans="1:1" x14ac:dyDescent="0.25">
      <c r="A1419">
        <v>6</v>
      </c>
    </row>
    <row r="1420" spans="1:1" x14ac:dyDescent="0.25">
      <c r="A1420">
        <v>2</v>
      </c>
    </row>
    <row r="1421" spans="1:1" x14ac:dyDescent="0.25">
      <c r="A1421">
        <v>2</v>
      </c>
    </row>
    <row r="1422" spans="1:1" x14ac:dyDescent="0.25">
      <c r="A1422">
        <v>2</v>
      </c>
    </row>
    <row r="1423" spans="1:1" x14ac:dyDescent="0.25">
      <c r="A1423">
        <v>5</v>
      </c>
    </row>
    <row r="1424" spans="1:1" x14ac:dyDescent="0.25">
      <c r="A1424">
        <v>7</v>
      </c>
    </row>
    <row r="1425" spans="1:1" x14ac:dyDescent="0.25">
      <c r="A1425">
        <v>1</v>
      </c>
    </row>
    <row r="1426" spans="1:1" x14ac:dyDescent="0.25">
      <c r="A1426">
        <v>5</v>
      </c>
    </row>
    <row r="1427" spans="1:1" x14ac:dyDescent="0.25">
      <c r="A1427">
        <v>5</v>
      </c>
    </row>
    <row r="1428" spans="1:1" x14ac:dyDescent="0.25">
      <c r="A1428">
        <v>1</v>
      </c>
    </row>
    <row r="1429" spans="1:1" x14ac:dyDescent="0.25">
      <c r="A1429">
        <v>1</v>
      </c>
    </row>
    <row r="1430" spans="1:1" x14ac:dyDescent="0.25">
      <c r="A1430">
        <v>1</v>
      </c>
    </row>
    <row r="1431" spans="1:1" x14ac:dyDescent="0.25">
      <c r="A1431">
        <v>5</v>
      </c>
    </row>
    <row r="1432" spans="1:1" x14ac:dyDescent="0.25">
      <c r="A1432">
        <v>5</v>
      </c>
    </row>
    <row r="1433" spans="1:1" x14ac:dyDescent="0.25">
      <c r="A1433">
        <v>8</v>
      </c>
    </row>
    <row r="1434" spans="1:1" x14ac:dyDescent="0.25">
      <c r="A1434">
        <v>5</v>
      </c>
    </row>
    <row r="1435" spans="1:1" x14ac:dyDescent="0.25">
      <c r="A1435">
        <v>7</v>
      </c>
    </row>
    <row r="1436" spans="1:1" x14ac:dyDescent="0.25">
      <c r="A1436">
        <v>1</v>
      </c>
    </row>
    <row r="1437" spans="1:1" x14ac:dyDescent="0.25">
      <c r="A1437">
        <v>5</v>
      </c>
    </row>
    <row r="1438" spans="1:1" x14ac:dyDescent="0.25">
      <c r="A1438">
        <v>5</v>
      </c>
    </row>
    <row r="1439" spans="1:1" x14ac:dyDescent="0.25">
      <c r="A1439">
        <v>1</v>
      </c>
    </row>
    <row r="1440" spans="1:1" x14ac:dyDescent="0.25">
      <c r="A1440">
        <v>5</v>
      </c>
    </row>
    <row r="1441" spans="1:1" x14ac:dyDescent="0.25">
      <c r="A1441">
        <v>2</v>
      </c>
    </row>
    <row r="1442" spans="1:1" x14ac:dyDescent="0.25">
      <c r="A1442">
        <v>1</v>
      </c>
    </row>
    <row r="1443" spans="1:1" x14ac:dyDescent="0.25">
      <c r="A1443">
        <v>5</v>
      </c>
    </row>
    <row r="1444" spans="1:1" x14ac:dyDescent="0.25">
      <c r="A1444">
        <v>5</v>
      </c>
    </row>
    <row r="1445" spans="1:1" x14ac:dyDescent="0.25">
      <c r="A1445">
        <v>8</v>
      </c>
    </row>
    <row r="1446" spans="1:1" x14ac:dyDescent="0.25">
      <c r="A1446">
        <v>1</v>
      </c>
    </row>
    <row r="1447" spans="1:1" x14ac:dyDescent="0.25">
      <c r="A1447">
        <v>2</v>
      </c>
    </row>
    <row r="1448" spans="1:1" x14ac:dyDescent="0.25">
      <c r="A1448">
        <v>3</v>
      </c>
    </row>
    <row r="1449" spans="1:1" x14ac:dyDescent="0.25">
      <c r="A1449">
        <v>5</v>
      </c>
    </row>
    <row r="1450" spans="1:1" x14ac:dyDescent="0.25">
      <c r="A1450">
        <v>7</v>
      </c>
    </row>
    <row r="1451" spans="1:1" x14ac:dyDescent="0.25">
      <c r="A1451">
        <v>2</v>
      </c>
    </row>
    <row r="1452" spans="1:1" x14ac:dyDescent="0.25">
      <c r="A1452">
        <v>1</v>
      </c>
    </row>
    <row r="1453" spans="1:1" x14ac:dyDescent="0.25">
      <c r="A1453">
        <v>1</v>
      </c>
    </row>
    <row r="1454" spans="1:1" x14ac:dyDescent="0.25">
      <c r="A1454">
        <v>1</v>
      </c>
    </row>
    <row r="1455" spans="1:1" x14ac:dyDescent="0.25">
      <c r="A1455">
        <v>2</v>
      </c>
    </row>
    <row r="1456" spans="1:1" x14ac:dyDescent="0.25">
      <c r="A1456">
        <v>1</v>
      </c>
    </row>
    <row r="1457" spans="1:1" x14ac:dyDescent="0.25">
      <c r="A1457">
        <v>5</v>
      </c>
    </row>
    <row r="1458" spans="1:1" x14ac:dyDescent="0.25">
      <c r="A1458">
        <v>2</v>
      </c>
    </row>
    <row r="1459" spans="1:1" x14ac:dyDescent="0.25">
      <c r="A1459">
        <v>3</v>
      </c>
    </row>
    <row r="1460" spans="1:1" x14ac:dyDescent="0.25">
      <c r="A1460">
        <v>1</v>
      </c>
    </row>
    <row r="1461" spans="1:1" x14ac:dyDescent="0.25">
      <c r="A1461">
        <v>5</v>
      </c>
    </row>
    <row r="1462" spans="1:1" x14ac:dyDescent="0.25">
      <c r="A1462">
        <v>2</v>
      </c>
    </row>
    <row r="1463" spans="1:1" x14ac:dyDescent="0.25">
      <c r="A1463">
        <v>1</v>
      </c>
    </row>
    <row r="1464" spans="1:1" x14ac:dyDescent="0.25">
      <c r="A1464">
        <v>1</v>
      </c>
    </row>
    <row r="1465" spans="1:1" x14ac:dyDescent="0.25">
      <c r="A1465">
        <v>5</v>
      </c>
    </row>
    <row r="1466" spans="1:1" x14ac:dyDescent="0.25">
      <c r="A1466">
        <v>4</v>
      </c>
    </row>
    <row r="1467" spans="1:1" x14ac:dyDescent="0.25">
      <c r="A1467">
        <v>8</v>
      </c>
    </row>
    <row r="1468" spans="1:1" x14ac:dyDescent="0.25">
      <c r="A1468">
        <v>5</v>
      </c>
    </row>
    <row r="1469" spans="1:1" x14ac:dyDescent="0.25">
      <c r="A1469">
        <v>8</v>
      </c>
    </row>
    <row r="1470" spans="1:1" x14ac:dyDescent="0.25">
      <c r="A1470">
        <v>1</v>
      </c>
    </row>
    <row r="1471" spans="1:1" x14ac:dyDescent="0.25">
      <c r="A1471">
        <v>1</v>
      </c>
    </row>
    <row r="1472" spans="1:1" x14ac:dyDescent="0.25">
      <c r="A1472">
        <v>6</v>
      </c>
    </row>
    <row r="1473" spans="1:1" x14ac:dyDescent="0.25">
      <c r="A1473">
        <v>5</v>
      </c>
    </row>
    <row r="1474" spans="1:1" x14ac:dyDescent="0.25">
      <c r="A1474">
        <v>2</v>
      </c>
    </row>
    <row r="1475" spans="1:1" x14ac:dyDescent="0.25">
      <c r="A1475">
        <v>1</v>
      </c>
    </row>
    <row r="1476" spans="1:1" x14ac:dyDescent="0.25">
      <c r="A1476">
        <v>2</v>
      </c>
    </row>
    <row r="1477" spans="1:1" x14ac:dyDescent="0.25">
      <c r="A1477">
        <v>1</v>
      </c>
    </row>
    <row r="1478" spans="1:1" x14ac:dyDescent="0.25">
      <c r="A1478">
        <v>1</v>
      </c>
    </row>
    <row r="1479" spans="1:1" x14ac:dyDescent="0.25">
      <c r="A1479">
        <v>2</v>
      </c>
    </row>
    <row r="1480" spans="1:1" x14ac:dyDescent="0.25">
      <c r="A1480">
        <v>8</v>
      </c>
    </row>
    <row r="1481" spans="1:1" x14ac:dyDescent="0.25">
      <c r="A1481">
        <v>5</v>
      </c>
    </row>
    <row r="1482" spans="1:1" x14ac:dyDescent="0.25">
      <c r="A1482">
        <v>1</v>
      </c>
    </row>
    <row r="1483" spans="1:1" x14ac:dyDescent="0.25">
      <c r="A1483">
        <v>1</v>
      </c>
    </row>
    <row r="1484" spans="1:1" x14ac:dyDescent="0.25">
      <c r="A1484">
        <v>8</v>
      </c>
    </row>
    <row r="1485" spans="1:1" x14ac:dyDescent="0.25">
      <c r="A1485">
        <v>1</v>
      </c>
    </row>
    <row r="1486" spans="1:1" x14ac:dyDescent="0.25">
      <c r="A1486">
        <v>7</v>
      </c>
    </row>
    <row r="1487" spans="1:1" x14ac:dyDescent="0.25">
      <c r="A1487">
        <v>5</v>
      </c>
    </row>
    <row r="1488" spans="1:1" x14ac:dyDescent="0.25">
      <c r="A1488">
        <v>1</v>
      </c>
    </row>
    <row r="1489" spans="1:1" x14ac:dyDescent="0.25">
      <c r="A1489">
        <v>4</v>
      </c>
    </row>
    <row r="1490" spans="1:1" x14ac:dyDescent="0.25">
      <c r="A1490">
        <v>5</v>
      </c>
    </row>
    <row r="1491" spans="1:1" x14ac:dyDescent="0.25">
      <c r="A1491">
        <v>1</v>
      </c>
    </row>
    <row r="1492" spans="1:1" x14ac:dyDescent="0.25">
      <c r="A1492">
        <v>2</v>
      </c>
    </row>
    <row r="1493" spans="1:1" x14ac:dyDescent="0.25">
      <c r="A1493">
        <v>1</v>
      </c>
    </row>
    <row r="1494" spans="1:1" x14ac:dyDescent="0.25">
      <c r="A1494">
        <v>1</v>
      </c>
    </row>
    <row r="1495" spans="1:1" x14ac:dyDescent="0.25">
      <c r="A1495">
        <v>5</v>
      </c>
    </row>
    <row r="1496" spans="1:1" x14ac:dyDescent="0.25">
      <c r="A1496">
        <v>1</v>
      </c>
    </row>
    <row r="1497" spans="1:1" x14ac:dyDescent="0.25">
      <c r="A1497">
        <v>1</v>
      </c>
    </row>
    <row r="1498" spans="1:1" x14ac:dyDescent="0.25">
      <c r="A1498">
        <v>2</v>
      </c>
    </row>
    <row r="1499" spans="1:1" x14ac:dyDescent="0.25">
      <c r="A1499">
        <v>2</v>
      </c>
    </row>
    <row r="1500" spans="1:1" x14ac:dyDescent="0.25">
      <c r="A1500">
        <v>1</v>
      </c>
    </row>
    <row r="1501" spans="1:1" x14ac:dyDescent="0.25">
      <c r="A1501">
        <v>1</v>
      </c>
    </row>
    <row r="1502" spans="1:1" x14ac:dyDescent="0.25">
      <c r="A1502">
        <v>1</v>
      </c>
    </row>
    <row r="1503" spans="1:1" x14ac:dyDescent="0.25">
      <c r="A1503">
        <v>8</v>
      </c>
    </row>
    <row r="1504" spans="1:1" x14ac:dyDescent="0.25">
      <c r="A1504">
        <v>2</v>
      </c>
    </row>
    <row r="1505" spans="1:1" x14ac:dyDescent="0.25">
      <c r="A1505">
        <v>1</v>
      </c>
    </row>
    <row r="1506" spans="1:1" x14ac:dyDescent="0.25">
      <c r="A1506">
        <v>2</v>
      </c>
    </row>
    <row r="1507" spans="1:1" x14ac:dyDescent="0.25">
      <c r="A1507">
        <v>1</v>
      </c>
    </row>
    <row r="1508" spans="1:1" x14ac:dyDescent="0.25">
      <c r="A1508">
        <v>2</v>
      </c>
    </row>
    <row r="1509" spans="1:1" x14ac:dyDescent="0.25">
      <c r="A1509">
        <v>2</v>
      </c>
    </row>
    <row r="1510" spans="1:1" x14ac:dyDescent="0.25">
      <c r="A1510">
        <v>5</v>
      </c>
    </row>
    <row r="1511" spans="1:1" x14ac:dyDescent="0.25">
      <c r="A1511">
        <v>1</v>
      </c>
    </row>
    <row r="1512" spans="1:1" x14ac:dyDescent="0.25">
      <c r="A1512">
        <v>2</v>
      </c>
    </row>
    <row r="1513" spans="1:1" x14ac:dyDescent="0.25">
      <c r="A1513">
        <v>1</v>
      </c>
    </row>
    <row r="1514" spans="1:1" x14ac:dyDescent="0.25">
      <c r="A1514">
        <v>2</v>
      </c>
    </row>
    <row r="1515" spans="1:1" x14ac:dyDescent="0.25">
      <c r="A1515">
        <v>1</v>
      </c>
    </row>
    <row r="1516" spans="1:1" x14ac:dyDescent="0.25">
      <c r="A1516">
        <v>2</v>
      </c>
    </row>
    <row r="1517" spans="1:1" x14ac:dyDescent="0.25">
      <c r="A1517">
        <v>7</v>
      </c>
    </row>
    <row r="1518" spans="1:1" x14ac:dyDescent="0.25">
      <c r="A1518">
        <v>1</v>
      </c>
    </row>
    <row r="1519" spans="1:1" x14ac:dyDescent="0.25">
      <c r="A1519">
        <v>1</v>
      </c>
    </row>
    <row r="1520" spans="1:1" x14ac:dyDescent="0.25">
      <c r="A1520">
        <v>5</v>
      </c>
    </row>
    <row r="1521" spans="1:1" x14ac:dyDescent="0.25">
      <c r="A1521">
        <v>5</v>
      </c>
    </row>
    <row r="1522" spans="1:1" x14ac:dyDescent="0.25">
      <c r="A1522">
        <v>2</v>
      </c>
    </row>
    <row r="1523" spans="1:1" x14ac:dyDescent="0.25">
      <c r="A1523">
        <v>7</v>
      </c>
    </row>
    <row r="1524" spans="1:1" x14ac:dyDescent="0.25">
      <c r="A1524">
        <v>6</v>
      </c>
    </row>
    <row r="1525" spans="1:1" x14ac:dyDescent="0.25">
      <c r="A1525">
        <v>1</v>
      </c>
    </row>
    <row r="1526" spans="1:1" x14ac:dyDescent="0.25">
      <c r="A1526">
        <v>1</v>
      </c>
    </row>
    <row r="1527" spans="1:1" x14ac:dyDescent="0.25">
      <c r="A1527">
        <v>1</v>
      </c>
    </row>
    <row r="1528" spans="1:1" x14ac:dyDescent="0.25">
      <c r="A1528">
        <v>5</v>
      </c>
    </row>
    <row r="1529" spans="1:1" x14ac:dyDescent="0.25">
      <c r="A1529">
        <v>5</v>
      </c>
    </row>
    <row r="1530" spans="1:1" x14ac:dyDescent="0.25">
      <c r="A1530">
        <v>1</v>
      </c>
    </row>
    <row r="1531" spans="1:1" x14ac:dyDescent="0.25">
      <c r="A1531">
        <v>6</v>
      </c>
    </row>
    <row r="1532" spans="1:1" x14ac:dyDescent="0.25">
      <c r="A1532">
        <v>6</v>
      </c>
    </row>
    <row r="1533" spans="1:1" x14ac:dyDescent="0.25">
      <c r="A1533">
        <v>5</v>
      </c>
    </row>
    <row r="1534" spans="1:1" x14ac:dyDescent="0.25">
      <c r="A1534">
        <v>6</v>
      </c>
    </row>
    <row r="1535" spans="1:1" x14ac:dyDescent="0.25">
      <c r="A1535">
        <v>2</v>
      </c>
    </row>
    <row r="1536" spans="1:1" x14ac:dyDescent="0.25">
      <c r="A1536">
        <v>1</v>
      </c>
    </row>
    <row r="1537" spans="1:1" x14ac:dyDescent="0.25">
      <c r="A1537">
        <v>1</v>
      </c>
    </row>
    <row r="1538" spans="1:1" x14ac:dyDescent="0.25">
      <c r="A1538">
        <v>5</v>
      </c>
    </row>
    <row r="1539" spans="1:1" x14ac:dyDescent="0.25">
      <c r="A1539">
        <v>8</v>
      </c>
    </row>
    <row r="1540" spans="1:1" x14ac:dyDescent="0.25">
      <c r="A1540">
        <v>1</v>
      </c>
    </row>
    <row r="1541" spans="1:1" x14ac:dyDescent="0.25">
      <c r="A1541">
        <v>5</v>
      </c>
    </row>
    <row r="1542" spans="1:1" x14ac:dyDescent="0.25">
      <c r="A1542">
        <v>1</v>
      </c>
    </row>
    <row r="1543" spans="1:1" x14ac:dyDescent="0.25">
      <c r="A1543">
        <v>1</v>
      </c>
    </row>
    <row r="1544" spans="1:1" x14ac:dyDescent="0.25">
      <c r="A1544">
        <v>1</v>
      </c>
    </row>
    <row r="1545" spans="1:1" x14ac:dyDescent="0.25">
      <c r="A1545">
        <v>1</v>
      </c>
    </row>
    <row r="1546" spans="1:1" x14ac:dyDescent="0.25">
      <c r="A1546">
        <v>7</v>
      </c>
    </row>
    <row r="1547" spans="1:1" x14ac:dyDescent="0.25">
      <c r="A1547">
        <v>1</v>
      </c>
    </row>
    <row r="1548" spans="1:1" x14ac:dyDescent="0.25">
      <c r="A1548">
        <v>1</v>
      </c>
    </row>
    <row r="1549" spans="1:1" x14ac:dyDescent="0.25">
      <c r="A1549">
        <v>1</v>
      </c>
    </row>
    <row r="1550" spans="1:1" x14ac:dyDescent="0.25">
      <c r="A1550">
        <v>1</v>
      </c>
    </row>
    <row r="1551" spans="1:1" x14ac:dyDescent="0.25">
      <c r="A1551">
        <v>7</v>
      </c>
    </row>
    <row r="1552" spans="1:1" x14ac:dyDescent="0.25">
      <c r="A1552">
        <v>6</v>
      </c>
    </row>
    <row r="1553" spans="1:1" x14ac:dyDescent="0.25">
      <c r="A1553">
        <v>5</v>
      </c>
    </row>
    <row r="1554" spans="1:1" x14ac:dyDescent="0.25">
      <c r="A1554">
        <v>1</v>
      </c>
    </row>
    <row r="1555" spans="1:1" x14ac:dyDescent="0.25">
      <c r="A1555">
        <v>8</v>
      </c>
    </row>
    <row r="1556" spans="1:1" x14ac:dyDescent="0.25">
      <c r="A1556">
        <v>1</v>
      </c>
    </row>
    <row r="1557" spans="1:1" x14ac:dyDescent="0.25">
      <c r="A1557">
        <v>1</v>
      </c>
    </row>
    <row r="1558" spans="1:1" x14ac:dyDescent="0.25">
      <c r="A1558">
        <v>1</v>
      </c>
    </row>
    <row r="1559" spans="1:1" x14ac:dyDescent="0.25">
      <c r="A1559">
        <v>1</v>
      </c>
    </row>
    <row r="1560" spans="1:1" x14ac:dyDescent="0.25">
      <c r="A1560">
        <v>1</v>
      </c>
    </row>
    <row r="1561" spans="1:1" x14ac:dyDescent="0.25">
      <c r="A1561">
        <v>1</v>
      </c>
    </row>
    <row r="1562" spans="1:1" x14ac:dyDescent="0.25">
      <c r="A1562">
        <v>5</v>
      </c>
    </row>
    <row r="1563" spans="1:1" x14ac:dyDescent="0.25">
      <c r="A1563">
        <v>5</v>
      </c>
    </row>
    <row r="1564" spans="1:1" x14ac:dyDescent="0.25">
      <c r="A1564">
        <v>2</v>
      </c>
    </row>
    <row r="1565" spans="1:1" x14ac:dyDescent="0.25">
      <c r="A1565">
        <v>1</v>
      </c>
    </row>
    <row r="1566" spans="1:1" x14ac:dyDescent="0.25">
      <c r="A1566">
        <v>5</v>
      </c>
    </row>
    <row r="1567" spans="1:1" x14ac:dyDescent="0.25">
      <c r="A1567">
        <v>8</v>
      </c>
    </row>
    <row r="1568" spans="1:1" x14ac:dyDescent="0.25">
      <c r="A1568">
        <v>2</v>
      </c>
    </row>
    <row r="1569" spans="1:1" x14ac:dyDescent="0.25">
      <c r="A1569">
        <v>1</v>
      </c>
    </row>
    <row r="1570" spans="1:1" x14ac:dyDescent="0.25">
      <c r="A1570">
        <v>5</v>
      </c>
    </row>
    <row r="1571" spans="1:1" x14ac:dyDescent="0.25">
      <c r="A1571">
        <v>5</v>
      </c>
    </row>
    <row r="1572" spans="1:1" x14ac:dyDescent="0.25">
      <c r="A1572">
        <v>4</v>
      </c>
    </row>
    <row r="1573" spans="1:1" x14ac:dyDescent="0.25">
      <c r="A1573">
        <v>5</v>
      </c>
    </row>
    <row r="1574" spans="1:1" x14ac:dyDescent="0.25">
      <c r="A1574">
        <v>6</v>
      </c>
    </row>
    <row r="1575" spans="1:1" x14ac:dyDescent="0.25">
      <c r="A1575">
        <v>1</v>
      </c>
    </row>
    <row r="1576" spans="1:1" x14ac:dyDescent="0.25">
      <c r="A1576">
        <v>1</v>
      </c>
    </row>
    <row r="1577" spans="1:1" x14ac:dyDescent="0.25">
      <c r="A1577">
        <v>6</v>
      </c>
    </row>
    <row r="1578" spans="1:1" x14ac:dyDescent="0.25">
      <c r="A1578">
        <v>5</v>
      </c>
    </row>
    <row r="1579" spans="1:1" x14ac:dyDescent="0.25">
      <c r="A1579">
        <v>1</v>
      </c>
    </row>
    <row r="1580" spans="1:1" x14ac:dyDescent="0.25">
      <c r="A1580">
        <v>2</v>
      </c>
    </row>
    <row r="1581" spans="1:1" x14ac:dyDescent="0.25">
      <c r="A1581">
        <v>5</v>
      </c>
    </row>
    <row r="1582" spans="1:1" x14ac:dyDescent="0.25">
      <c r="A1582">
        <v>6</v>
      </c>
    </row>
    <row r="1583" spans="1:1" x14ac:dyDescent="0.25">
      <c r="A1583">
        <v>1</v>
      </c>
    </row>
    <row r="1584" spans="1:1" x14ac:dyDescent="0.25">
      <c r="A1584">
        <v>1</v>
      </c>
    </row>
    <row r="1585" spans="1:1" x14ac:dyDescent="0.25">
      <c r="A1585">
        <v>5</v>
      </c>
    </row>
    <row r="1586" spans="1:1" x14ac:dyDescent="0.25">
      <c r="A1586">
        <v>8</v>
      </c>
    </row>
    <row r="1587" spans="1:1" x14ac:dyDescent="0.25">
      <c r="A1587">
        <v>1</v>
      </c>
    </row>
    <row r="1588" spans="1:1" x14ac:dyDescent="0.25">
      <c r="A1588">
        <v>8</v>
      </c>
    </row>
    <row r="1589" spans="1:1" x14ac:dyDescent="0.25">
      <c r="A1589">
        <v>1</v>
      </c>
    </row>
    <row r="1590" spans="1:1" x14ac:dyDescent="0.25">
      <c r="A1590">
        <v>1</v>
      </c>
    </row>
    <row r="1591" spans="1:1" x14ac:dyDescent="0.25">
      <c r="A1591">
        <v>1</v>
      </c>
    </row>
    <row r="1592" spans="1:1" x14ac:dyDescent="0.25">
      <c r="A1592">
        <v>1</v>
      </c>
    </row>
    <row r="1593" spans="1:1" x14ac:dyDescent="0.25">
      <c r="A1593">
        <v>5</v>
      </c>
    </row>
    <row r="1594" spans="1:1" x14ac:dyDescent="0.25">
      <c r="A1594">
        <v>5</v>
      </c>
    </row>
    <row r="1595" spans="1:1" x14ac:dyDescent="0.25">
      <c r="A1595">
        <v>5</v>
      </c>
    </row>
    <row r="1596" spans="1:1" x14ac:dyDescent="0.25">
      <c r="A1596">
        <v>1</v>
      </c>
    </row>
    <row r="1597" spans="1:1" x14ac:dyDescent="0.25">
      <c r="A1597">
        <v>7</v>
      </c>
    </row>
    <row r="1598" spans="1:1" x14ac:dyDescent="0.25">
      <c r="A1598">
        <v>8</v>
      </c>
    </row>
    <row r="1599" spans="1:1" x14ac:dyDescent="0.25">
      <c r="A1599">
        <v>5</v>
      </c>
    </row>
    <row r="1600" spans="1:1" x14ac:dyDescent="0.25">
      <c r="A1600">
        <v>5</v>
      </c>
    </row>
    <row r="1601" spans="1:1" x14ac:dyDescent="0.25">
      <c r="A1601">
        <v>1</v>
      </c>
    </row>
    <row r="1602" spans="1:1" x14ac:dyDescent="0.25">
      <c r="A1602">
        <v>6</v>
      </c>
    </row>
    <row r="1603" spans="1:1" x14ac:dyDescent="0.25">
      <c r="A1603">
        <v>1</v>
      </c>
    </row>
    <row r="1604" spans="1:1" x14ac:dyDescent="0.25">
      <c r="A1604">
        <v>1</v>
      </c>
    </row>
    <row r="1605" spans="1:1" x14ac:dyDescent="0.25">
      <c r="A1605">
        <v>1</v>
      </c>
    </row>
    <row r="1606" spans="1:1" x14ac:dyDescent="0.25">
      <c r="A1606">
        <v>1</v>
      </c>
    </row>
    <row r="1607" spans="1:1" x14ac:dyDescent="0.25">
      <c r="A1607">
        <v>5</v>
      </c>
    </row>
    <row r="1608" spans="1:1" x14ac:dyDescent="0.25">
      <c r="A1608">
        <v>5</v>
      </c>
    </row>
    <row r="1609" spans="1:1" x14ac:dyDescent="0.25">
      <c r="A1609">
        <v>1</v>
      </c>
    </row>
    <row r="1610" spans="1:1" x14ac:dyDescent="0.25">
      <c r="A1610">
        <v>5</v>
      </c>
    </row>
    <row r="1611" spans="1:1" x14ac:dyDescent="0.25">
      <c r="A1611">
        <v>8</v>
      </c>
    </row>
    <row r="1612" spans="1:1" x14ac:dyDescent="0.25">
      <c r="A1612">
        <v>6</v>
      </c>
    </row>
    <row r="1613" spans="1:1" x14ac:dyDescent="0.25">
      <c r="A1613">
        <v>1</v>
      </c>
    </row>
    <row r="1614" spans="1:1" x14ac:dyDescent="0.25">
      <c r="A1614">
        <v>7</v>
      </c>
    </row>
    <row r="1615" spans="1:1" x14ac:dyDescent="0.25">
      <c r="A1615">
        <v>5</v>
      </c>
    </row>
    <row r="1616" spans="1:1" x14ac:dyDescent="0.25">
      <c r="A1616">
        <v>2</v>
      </c>
    </row>
    <row r="1617" spans="1:1" x14ac:dyDescent="0.25">
      <c r="A1617">
        <v>7</v>
      </c>
    </row>
    <row r="1618" spans="1:1" x14ac:dyDescent="0.25">
      <c r="A1618">
        <v>1</v>
      </c>
    </row>
    <row r="1619" spans="1:1" x14ac:dyDescent="0.25">
      <c r="A1619">
        <v>3</v>
      </c>
    </row>
    <row r="1620" spans="1:1" x14ac:dyDescent="0.25">
      <c r="A1620">
        <v>1</v>
      </c>
    </row>
    <row r="1621" spans="1:1" x14ac:dyDescent="0.25">
      <c r="A1621">
        <v>7</v>
      </c>
    </row>
    <row r="1622" spans="1:1" x14ac:dyDescent="0.25">
      <c r="A1622">
        <v>1</v>
      </c>
    </row>
    <row r="1623" spans="1:1" x14ac:dyDescent="0.25">
      <c r="A1623">
        <v>6</v>
      </c>
    </row>
    <row r="1624" spans="1:1" x14ac:dyDescent="0.25">
      <c r="A1624">
        <v>2</v>
      </c>
    </row>
    <row r="1625" spans="1:1" x14ac:dyDescent="0.25">
      <c r="A1625">
        <v>7</v>
      </c>
    </row>
    <row r="1626" spans="1:1" x14ac:dyDescent="0.25">
      <c r="A1626">
        <v>7</v>
      </c>
    </row>
    <row r="1627" spans="1:1" x14ac:dyDescent="0.25">
      <c r="A1627">
        <v>2</v>
      </c>
    </row>
    <row r="1628" spans="1:1" x14ac:dyDescent="0.25">
      <c r="A1628">
        <v>1</v>
      </c>
    </row>
    <row r="1629" spans="1:1" x14ac:dyDescent="0.25">
      <c r="A1629">
        <v>1</v>
      </c>
    </row>
    <row r="1630" spans="1:1" x14ac:dyDescent="0.25">
      <c r="A1630">
        <v>1</v>
      </c>
    </row>
    <row r="1631" spans="1:1" x14ac:dyDescent="0.25">
      <c r="A1631">
        <v>2</v>
      </c>
    </row>
    <row r="1632" spans="1:1" x14ac:dyDescent="0.25">
      <c r="A1632">
        <v>5</v>
      </c>
    </row>
    <row r="1633" spans="1:1" x14ac:dyDescent="0.25">
      <c r="A1633">
        <v>5</v>
      </c>
    </row>
    <row r="1634" spans="1:1" x14ac:dyDescent="0.25">
      <c r="A1634">
        <v>1</v>
      </c>
    </row>
    <row r="1635" spans="1:1" x14ac:dyDescent="0.25">
      <c r="A1635">
        <v>1</v>
      </c>
    </row>
    <row r="1636" spans="1:1" x14ac:dyDescent="0.25">
      <c r="A1636">
        <v>1</v>
      </c>
    </row>
    <row r="1637" spans="1:1" x14ac:dyDescent="0.25">
      <c r="A1637">
        <v>4</v>
      </c>
    </row>
    <row r="1638" spans="1:1" x14ac:dyDescent="0.25">
      <c r="A1638">
        <v>7</v>
      </c>
    </row>
    <row r="1639" spans="1:1" x14ac:dyDescent="0.25">
      <c r="A1639">
        <v>4</v>
      </c>
    </row>
    <row r="1640" spans="1:1" x14ac:dyDescent="0.25">
      <c r="A1640">
        <v>1</v>
      </c>
    </row>
    <row r="1641" spans="1:1" x14ac:dyDescent="0.25">
      <c r="A1641">
        <v>7</v>
      </c>
    </row>
    <row r="1642" spans="1:1" x14ac:dyDescent="0.25">
      <c r="A1642">
        <v>7</v>
      </c>
    </row>
    <row r="1643" spans="1:1" x14ac:dyDescent="0.25">
      <c r="A1643">
        <v>1</v>
      </c>
    </row>
    <row r="1644" spans="1:1" x14ac:dyDescent="0.25">
      <c r="A1644">
        <v>1</v>
      </c>
    </row>
    <row r="1645" spans="1:1" x14ac:dyDescent="0.25">
      <c r="A1645">
        <v>1</v>
      </c>
    </row>
    <row r="1646" spans="1:1" x14ac:dyDescent="0.25">
      <c r="A1646">
        <v>1</v>
      </c>
    </row>
    <row r="1647" spans="1:1" x14ac:dyDescent="0.25">
      <c r="A1647">
        <v>3</v>
      </c>
    </row>
    <row r="1648" spans="1:1" x14ac:dyDescent="0.25">
      <c r="A1648">
        <v>1</v>
      </c>
    </row>
    <row r="1649" spans="1:1" x14ac:dyDescent="0.25">
      <c r="A1649">
        <v>7</v>
      </c>
    </row>
    <row r="1650" spans="1:1" x14ac:dyDescent="0.25">
      <c r="A1650">
        <v>1</v>
      </c>
    </row>
    <row r="1651" spans="1:1" x14ac:dyDescent="0.25">
      <c r="A1651">
        <v>3</v>
      </c>
    </row>
    <row r="1652" spans="1:1" x14ac:dyDescent="0.25">
      <c r="A1652">
        <v>7</v>
      </c>
    </row>
    <row r="1653" spans="1:1" x14ac:dyDescent="0.25">
      <c r="A1653">
        <v>5</v>
      </c>
    </row>
    <row r="1654" spans="1:1" x14ac:dyDescent="0.25">
      <c r="A1654">
        <v>5</v>
      </c>
    </row>
    <row r="1655" spans="1:1" x14ac:dyDescent="0.25">
      <c r="A1655">
        <v>1</v>
      </c>
    </row>
    <row r="1656" spans="1:1" x14ac:dyDescent="0.25">
      <c r="A1656">
        <v>1</v>
      </c>
    </row>
    <row r="1657" spans="1:1" x14ac:dyDescent="0.25">
      <c r="A1657">
        <v>1</v>
      </c>
    </row>
    <row r="1658" spans="1:1" x14ac:dyDescent="0.25">
      <c r="A1658">
        <v>1</v>
      </c>
    </row>
    <row r="1659" spans="1:1" x14ac:dyDescent="0.25">
      <c r="A1659">
        <v>5</v>
      </c>
    </row>
    <row r="1660" spans="1:1" x14ac:dyDescent="0.25">
      <c r="A1660">
        <v>1</v>
      </c>
    </row>
    <row r="1661" spans="1:1" x14ac:dyDescent="0.25">
      <c r="A1661">
        <v>5</v>
      </c>
    </row>
    <row r="1662" spans="1:1" x14ac:dyDescent="0.25">
      <c r="A1662">
        <v>1</v>
      </c>
    </row>
    <row r="1663" spans="1:1" x14ac:dyDescent="0.25">
      <c r="A1663">
        <v>1</v>
      </c>
    </row>
    <row r="1664" spans="1:1" x14ac:dyDescent="0.25">
      <c r="A1664">
        <v>5</v>
      </c>
    </row>
    <row r="1665" spans="1:1" x14ac:dyDescent="0.25">
      <c r="A1665">
        <v>1</v>
      </c>
    </row>
    <row r="1666" spans="1:1" x14ac:dyDescent="0.25">
      <c r="A1666">
        <v>5</v>
      </c>
    </row>
    <row r="1667" spans="1:1" x14ac:dyDescent="0.25">
      <c r="A1667">
        <v>1</v>
      </c>
    </row>
    <row r="1668" spans="1:1" x14ac:dyDescent="0.25">
      <c r="A1668">
        <v>5</v>
      </c>
    </row>
    <row r="1669" spans="1:1" x14ac:dyDescent="0.25">
      <c r="A1669">
        <v>1</v>
      </c>
    </row>
    <row r="1670" spans="1:1" x14ac:dyDescent="0.25">
      <c r="A1670">
        <v>1</v>
      </c>
    </row>
    <row r="1671" spans="1:1" x14ac:dyDescent="0.25">
      <c r="A1671">
        <v>1</v>
      </c>
    </row>
    <row r="1672" spans="1:1" x14ac:dyDescent="0.25">
      <c r="A1672">
        <v>7</v>
      </c>
    </row>
    <row r="1673" spans="1:1" x14ac:dyDescent="0.25">
      <c r="A1673">
        <v>2</v>
      </c>
    </row>
    <row r="1674" spans="1:1" x14ac:dyDescent="0.25">
      <c r="A1674">
        <v>2</v>
      </c>
    </row>
    <row r="1675" spans="1:1" x14ac:dyDescent="0.25">
      <c r="A1675">
        <v>5</v>
      </c>
    </row>
    <row r="1676" spans="1:1" x14ac:dyDescent="0.25">
      <c r="A1676">
        <v>4</v>
      </c>
    </row>
    <row r="1677" spans="1:1" x14ac:dyDescent="0.25">
      <c r="A1677">
        <v>5</v>
      </c>
    </row>
    <row r="1678" spans="1:1" x14ac:dyDescent="0.25">
      <c r="A1678">
        <v>8</v>
      </c>
    </row>
    <row r="1679" spans="1:1" x14ac:dyDescent="0.25">
      <c r="A1679">
        <v>5</v>
      </c>
    </row>
    <row r="1680" spans="1:1" x14ac:dyDescent="0.25">
      <c r="A1680">
        <v>1</v>
      </c>
    </row>
    <row r="1681" spans="1:1" x14ac:dyDescent="0.25">
      <c r="A1681">
        <v>1</v>
      </c>
    </row>
    <row r="1682" spans="1:1" x14ac:dyDescent="0.25">
      <c r="A1682">
        <v>7</v>
      </c>
    </row>
    <row r="1683" spans="1:1" x14ac:dyDescent="0.25">
      <c r="A1683">
        <v>1</v>
      </c>
    </row>
    <row r="1684" spans="1:1" x14ac:dyDescent="0.25">
      <c r="A1684">
        <v>1</v>
      </c>
    </row>
    <row r="1685" spans="1:1" x14ac:dyDescent="0.25">
      <c r="A1685">
        <v>7</v>
      </c>
    </row>
    <row r="1686" spans="1:1" x14ac:dyDescent="0.25">
      <c r="A1686">
        <v>5</v>
      </c>
    </row>
    <row r="1687" spans="1:1" x14ac:dyDescent="0.25">
      <c r="A1687">
        <v>1</v>
      </c>
    </row>
    <row r="1688" spans="1:1" x14ac:dyDescent="0.25">
      <c r="A1688">
        <v>1</v>
      </c>
    </row>
    <row r="1689" spans="1:1" x14ac:dyDescent="0.25">
      <c r="A1689">
        <v>5</v>
      </c>
    </row>
    <row r="1690" spans="1:1" x14ac:dyDescent="0.25">
      <c r="A1690">
        <v>8</v>
      </c>
    </row>
    <row r="1691" spans="1:1" x14ac:dyDescent="0.25">
      <c r="A1691">
        <v>1</v>
      </c>
    </row>
    <row r="1692" spans="1:1" x14ac:dyDescent="0.25">
      <c r="A1692">
        <v>7</v>
      </c>
    </row>
    <row r="1693" spans="1:1" x14ac:dyDescent="0.25">
      <c r="A1693">
        <v>1</v>
      </c>
    </row>
    <row r="1694" spans="1:1" x14ac:dyDescent="0.25">
      <c r="A1694">
        <v>1</v>
      </c>
    </row>
    <row r="1695" spans="1:1" x14ac:dyDescent="0.25">
      <c r="A1695">
        <v>1</v>
      </c>
    </row>
    <row r="1696" spans="1:1" x14ac:dyDescent="0.25">
      <c r="A1696">
        <v>1</v>
      </c>
    </row>
    <row r="1697" spans="1:1" x14ac:dyDescent="0.25">
      <c r="A1697">
        <v>1</v>
      </c>
    </row>
    <row r="1698" spans="1:1" x14ac:dyDescent="0.25">
      <c r="A1698">
        <v>1</v>
      </c>
    </row>
    <row r="1699" spans="1:1" x14ac:dyDescent="0.25">
      <c r="A1699">
        <v>1</v>
      </c>
    </row>
    <row r="1700" spans="1:1" x14ac:dyDescent="0.25">
      <c r="A1700">
        <v>1</v>
      </c>
    </row>
    <row r="1701" spans="1:1" x14ac:dyDescent="0.25">
      <c r="A1701">
        <v>1</v>
      </c>
    </row>
    <row r="1702" spans="1:1" x14ac:dyDescent="0.25">
      <c r="A1702">
        <v>1</v>
      </c>
    </row>
    <row r="1703" spans="1:1" x14ac:dyDescent="0.25">
      <c r="A1703">
        <v>3</v>
      </c>
    </row>
    <row r="1704" spans="1:1" x14ac:dyDescent="0.25">
      <c r="A1704">
        <v>6</v>
      </c>
    </row>
    <row r="1705" spans="1:1" x14ac:dyDescent="0.25">
      <c r="A1705">
        <v>1</v>
      </c>
    </row>
    <row r="1706" spans="1:1" x14ac:dyDescent="0.25">
      <c r="A1706">
        <v>1</v>
      </c>
    </row>
    <row r="1707" spans="1:1" x14ac:dyDescent="0.25">
      <c r="A1707">
        <v>1</v>
      </c>
    </row>
    <row r="1708" spans="1:1" x14ac:dyDescent="0.25">
      <c r="A1708">
        <v>1</v>
      </c>
    </row>
    <row r="1709" spans="1:1" x14ac:dyDescent="0.25">
      <c r="A1709">
        <v>1</v>
      </c>
    </row>
    <row r="1710" spans="1:1" x14ac:dyDescent="0.25">
      <c r="A1710">
        <v>1</v>
      </c>
    </row>
    <row r="1711" spans="1:1" x14ac:dyDescent="0.25">
      <c r="A1711">
        <v>6</v>
      </c>
    </row>
    <row r="1712" spans="1:1" x14ac:dyDescent="0.25">
      <c r="A1712">
        <v>6</v>
      </c>
    </row>
    <row r="1713" spans="1:1" x14ac:dyDescent="0.25">
      <c r="A1713">
        <v>5</v>
      </c>
    </row>
    <row r="1714" spans="1:1" x14ac:dyDescent="0.25">
      <c r="A1714">
        <v>8</v>
      </c>
    </row>
    <row r="1715" spans="1:1" x14ac:dyDescent="0.25">
      <c r="A1715">
        <v>2</v>
      </c>
    </row>
    <row r="1716" spans="1:1" x14ac:dyDescent="0.25">
      <c r="A1716">
        <v>5</v>
      </c>
    </row>
    <row r="1717" spans="1:1" x14ac:dyDescent="0.25">
      <c r="A1717">
        <v>7</v>
      </c>
    </row>
    <row r="1718" spans="1:1" x14ac:dyDescent="0.25">
      <c r="A1718">
        <v>8</v>
      </c>
    </row>
    <row r="1719" spans="1:1" x14ac:dyDescent="0.25">
      <c r="A1719">
        <v>8</v>
      </c>
    </row>
    <row r="1720" spans="1:1" x14ac:dyDescent="0.25">
      <c r="A1720">
        <v>1</v>
      </c>
    </row>
    <row r="1721" spans="1:1" x14ac:dyDescent="0.25">
      <c r="A1721">
        <v>1</v>
      </c>
    </row>
    <row r="1722" spans="1:1" x14ac:dyDescent="0.25">
      <c r="A1722">
        <v>5</v>
      </c>
    </row>
    <row r="1723" spans="1:1" x14ac:dyDescent="0.25">
      <c r="A1723">
        <v>2</v>
      </c>
    </row>
    <row r="1724" spans="1:1" x14ac:dyDescent="0.25">
      <c r="A1724">
        <v>1</v>
      </c>
    </row>
    <row r="1725" spans="1:1" x14ac:dyDescent="0.25">
      <c r="A1725">
        <v>7</v>
      </c>
    </row>
    <row r="1726" spans="1:1" x14ac:dyDescent="0.25">
      <c r="A1726">
        <v>4</v>
      </c>
    </row>
    <row r="1727" spans="1:1" x14ac:dyDescent="0.25">
      <c r="A1727">
        <v>4</v>
      </c>
    </row>
    <row r="1728" spans="1:1" x14ac:dyDescent="0.25">
      <c r="A1728">
        <v>1</v>
      </c>
    </row>
    <row r="1729" spans="1:1" x14ac:dyDescent="0.25">
      <c r="A1729">
        <v>1</v>
      </c>
    </row>
    <row r="1730" spans="1:1" x14ac:dyDescent="0.25">
      <c r="A1730">
        <v>7</v>
      </c>
    </row>
    <row r="1731" spans="1:1" x14ac:dyDescent="0.25">
      <c r="A1731">
        <v>1</v>
      </c>
    </row>
    <row r="1732" spans="1:1" x14ac:dyDescent="0.25">
      <c r="A1732">
        <v>1</v>
      </c>
    </row>
    <row r="1733" spans="1:1" x14ac:dyDescent="0.25">
      <c r="A1733">
        <v>8</v>
      </c>
    </row>
    <row r="1734" spans="1:1" x14ac:dyDescent="0.25">
      <c r="A1734">
        <v>2</v>
      </c>
    </row>
    <row r="1735" spans="1:1" x14ac:dyDescent="0.25">
      <c r="A1735">
        <v>1</v>
      </c>
    </row>
    <row r="1736" spans="1:1" x14ac:dyDescent="0.25">
      <c r="A1736">
        <v>5</v>
      </c>
    </row>
    <row r="1737" spans="1:1" x14ac:dyDescent="0.25">
      <c r="A1737">
        <v>1</v>
      </c>
    </row>
    <row r="1738" spans="1:1" x14ac:dyDescent="0.25">
      <c r="A1738">
        <v>1</v>
      </c>
    </row>
    <row r="1739" spans="1:1" x14ac:dyDescent="0.25">
      <c r="A1739">
        <v>1</v>
      </c>
    </row>
    <row r="1740" spans="1:1" x14ac:dyDescent="0.25">
      <c r="A1740">
        <v>1</v>
      </c>
    </row>
    <row r="1741" spans="1:1" x14ac:dyDescent="0.25">
      <c r="A1741">
        <v>5</v>
      </c>
    </row>
    <row r="1742" spans="1:1" x14ac:dyDescent="0.25">
      <c r="A1742">
        <v>4</v>
      </c>
    </row>
    <row r="1743" spans="1:1" x14ac:dyDescent="0.25">
      <c r="A1743">
        <v>5</v>
      </c>
    </row>
    <row r="1744" spans="1:1" x14ac:dyDescent="0.25">
      <c r="A1744">
        <v>7</v>
      </c>
    </row>
    <row r="1745" spans="1:1" x14ac:dyDescent="0.25">
      <c r="A1745">
        <v>5</v>
      </c>
    </row>
    <row r="1746" spans="1:1" x14ac:dyDescent="0.25">
      <c r="A1746">
        <v>1</v>
      </c>
    </row>
    <row r="1747" spans="1:1" x14ac:dyDescent="0.25">
      <c r="A1747">
        <v>1</v>
      </c>
    </row>
    <row r="1748" spans="1:1" x14ac:dyDescent="0.25">
      <c r="A1748">
        <v>5</v>
      </c>
    </row>
    <row r="1749" spans="1:1" x14ac:dyDescent="0.25">
      <c r="A1749">
        <v>4</v>
      </c>
    </row>
    <row r="1750" spans="1:1" x14ac:dyDescent="0.25">
      <c r="A1750">
        <v>5</v>
      </c>
    </row>
    <row r="1751" spans="1:1" x14ac:dyDescent="0.25">
      <c r="A1751">
        <v>7</v>
      </c>
    </row>
    <row r="1752" spans="1:1" x14ac:dyDescent="0.25">
      <c r="A1752">
        <v>5</v>
      </c>
    </row>
    <row r="1753" spans="1:1" x14ac:dyDescent="0.25">
      <c r="A1753">
        <v>7</v>
      </c>
    </row>
    <row r="1754" spans="1:1" x14ac:dyDescent="0.25">
      <c r="A1754">
        <v>2</v>
      </c>
    </row>
    <row r="1755" spans="1:1" x14ac:dyDescent="0.25">
      <c r="A1755">
        <v>1</v>
      </c>
    </row>
    <row r="1756" spans="1:1" x14ac:dyDescent="0.25">
      <c r="A1756">
        <v>7</v>
      </c>
    </row>
    <row r="1757" spans="1:1" x14ac:dyDescent="0.25">
      <c r="A1757">
        <v>4</v>
      </c>
    </row>
    <row r="1758" spans="1:1" x14ac:dyDescent="0.25">
      <c r="A1758">
        <v>4</v>
      </c>
    </row>
    <row r="1759" spans="1:1" x14ac:dyDescent="0.25">
      <c r="A1759">
        <v>2</v>
      </c>
    </row>
    <row r="1760" spans="1:1" x14ac:dyDescent="0.25">
      <c r="A1760">
        <v>1</v>
      </c>
    </row>
    <row r="1761" spans="1:1" x14ac:dyDescent="0.25">
      <c r="A1761">
        <v>1</v>
      </c>
    </row>
    <row r="1762" spans="1:1" x14ac:dyDescent="0.25">
      <c r="A1762">
        <v>2</v>
      </c>
    </row>
    <row r="1763" spans="1:1" x14ac:dyDescent="0.25">
      <c r="A1763">
        <v>7</v>
      </c>
    </row>
    <row r="1764" spans="1:1" x14ac:dyDescent="0.25">
      <c r="A1764">
        <v>1</v>
      </c>
    </row>
    <row r="1765" spans="1:1" x14ac:dyDescent="0.25">
      <c r="A1765">
        <v>1</v>
      </c>
    </row>
    <row r="1766" spans="1:1" x14ac:dyDescent="0.25">
      <c r="A1766">
        <v>1</v>
      </c>
    </row>
    <row r="1767" spans="1:1" x14ac:dyDescent="0.25">
      <c r="A1767">
        <v>5</v>
      </c>
    </row>
    <row r="1768" spans="1:1" x14ac:dyDescent="0.25">
      <c r="A1768">
        <v>8</v>
      </c>
    </row>
    <row r="1769" spans="1:1" x14ac:dyDescent="0.25">
      <c r="A1769">
        <v>5</v>
      </c>
    </row>
    <row r="1770" spans="1:1" x14ac:dyDescent="0.25">
      <c r="A1770">
        <v>7</v>
      </c>
    </row>
    <row r="1771" spans="1:1" x14ac:dyDescent="0.25">
      <c r="A1771">
        <v>5</v>
      </c>
    </row>
    <row r="1772" spans="1:1" x14ac:dyDescent="0.25">
      <c r="A1772">
        <v>4</v>
      </c>
    </row>
    <row r="1773" spans="1:1" x14ac:dyDescent="0.25">
      <c r="A1773">
        <v>1</v>
      </c>
    </row>
    <row r="1774" spans="1:1" x14ac:dyDescent="0.25">
      <c r="A1774">
        <v>1</v>
      </c>
    </row>
    <row r="1775" spans="1:1" x14ac:dyDescent="0.25">
      <c r="A1775">
        <v>5</v>
      </c>
    </row>
    <row r="1776" spans="1:1" x14ac:dyDescent="0.25">
      <c r="A1776">
        <v>1</v>
      </c>
    </row>
    <row r="1777" spans="1:1" x14ac:dyDescent="0.25">
      <c r="A1777">
        <v>1</v>
      </c>
    </row>
    <row r="1778" spans="1:1" x14ac:dyDescent="0.25">
      <c r="A1778">
        <v>5</v>
      </c>
    </row>
    <row r="1779" spans="1:1" x14ac:dyDescent="0.25">
      <c r="A1779">
        <v>7</v>
      </c>
    </row>
    <row r="1780" spans="1:1" x14ac:dyDescent="0.25">
      <c r="A1780">
        <v>5</v>
      </c>
    </row>
    <row r="1781" spans="1:1" x14ac:dyDescent="0.25">
      <c r="A1781">
        <v>5</v>
      </c>
    </row>
    <row r="1782" spans="1:1" x14ac:dyDescent="0.25">
      <c r="A1782">
        <v>1</v>
      </c>
    </row>
    <row r="1783" spans="1:1" x14ac:dyDescent="0.25">
      <c r="A1783">
        <v>1</v>
      </c>
    </row>
    <row r="1784" spans="1:1" x14ac:dyDescent="0.25">
      <c r="A1784">
        <v>1</v>
      </c>
    </row>
    <row r="1785" spans="1:1" x14ac:dyDescent="0.25">
      <c r="A1785">
        <v>1</v>
      </c>
    </row>
    <row r="1786" spans="1:1" x14ac:dyDescent="0.25">
      <c r="A1786">
        <v>5</v>
      </c>
    </row>
    <row r="1787" spans="1:1" x14ac:dyDescent="0.25">
      <c r="A1787">
        <v>2</v>
      </c>
    </row>
    <row r="1788" spans="1:1" x14ac:dyDescent="0.25">
      <c r="A1788">
        <v>7</v>
      </c>
    </row>
    <row r="1789" spans="1:1" x14ac:dyDescent="0.25">
      <c r="A1789">
        <v>5</v>
      </c>
    </row>
    <row r="1790" spans="1:1" x14ac:dyDescent="0.25">
      <c r="A1790">
        <v>5</v>
      </c>
    </row>
    <row r="1791" spans="1:1" x14ac:dyDescent="0.25">
      <c r="A1791">
        <v>1</v>
      </c>
    </row>
    <row r="1792" spans="1:1" x14ac:dyDescent="0.25">
      <c r="A1792">
        <v>7</v>
      </c>
    </row>
    <row r="1793" spans="1:1" x14ac:dyDescent="0.25">
      <c r="A1793">
        <v>1</v>
      </c>
    </row>
    <row r="1794" spans="1:1" x14ac:dyDescent="0.25">
      <c r="A1794">
        <v>2</v>
      </c>
    </row>
    <row r="1795" spans="1:1" x14ac:dyDescent="0.25">
      <c r="A1795">
        <v>1</v>
      </c>
    </row>
    <row r="1796" spans="1:1" x14ac:dyDescent="0.25">
      <c r="A1796">
        <v>1</v>
      </c>
    </row>
    <row r="1797" spans="1:1" x14ac:dyDescent="0.25">
      <c r="A1797">
        <v>5</v>
      </c>
    </row>
    <row r="1798" spans="1:1" x14ac:dyDescent="0.25">
      <c r="A1798">
        <v>2</v>
      </c>
    </row>
    <row r="1799" spans="1:1" x14ac:dyDescent="0.25">
      <c r="A1799">
        <v>5</v>
      </c>
    </row>
    <row r="1800" spans="1:1" x14ac:dyDescent="0.25">
      <c r="A1800">
        <v>5</v>
      </c>
    </row>
    <row r="1801" spans="1:1" x14ac:dyDescent="0.25">
      <c r="A1801">
        <v>1</v>
      </c>
    </row>
    <row r="1802" spans="1:1" x14ac:dyDescent="0.25">
      <c r="A1802">
        <v>5</v>
      </c>
    </row>
    <row r="1803" spans="1:1" x14ac:dyDescent="0.25">
      <c r="A1803">
        <v>1</v>
      </c>
    </row>
    <row r="1804" spans="1:1" x14ac:dyDescent="0.25">
      <c r="A1804">
        <v>3</v>
      </c>
    </row>
    <row r="1805" spans="1:1" x14ac:dyDescent="0.25">
      <c r="A1805">
        <v>7</v>
      </c>
    </row>
    <row r="1806" spans="1:1" x14ac:dyDescent="0.25">
      <c r="A1806">
        <v>1</v>
      </c>
    </row>
    <row r="1807" spans="1:1" x14ac:dyDescent="0.25">
      <c r="A1807">
        <v>1</v>
      </c>
    </row>
    <row r="1808" spans="1:1" x14ac:dyDescent="0.25">
      <c r="A1808">
        <v>5</v>
      </c>
    </row>
    <row r="1809" spans="1:1" x14ac:dyDescent="0.25">
      <c r="A1809">
        <v>2</v>
      </c>
    </row>
    <row r="1810" spans="1:1" x14ac:dyDescent="0.25">
      <c r="A1810">
        <v>1</v>
      </c>
    </row>
    <row r="1811" spans="1:1" x14ac:dyDescent="0.25">
      <c r="A1811">
        <v>5</v>
      </c>
    </row>
    <row r="1812" spans="1:1" x14ac:dyDescent="0.25">
      <c r="A1812">
        <v>2</v>
      </c>
    </row>
    <row r="1813" spans="1:1" x14ac:dyDescent="0.25">
      <c r="A1813">
        <v>1</v>
      </c>
    </row>
    <row r="1814" spans="1:1" x14ac:dyDescent="0.25">
      <c r="A1814">
        <v>7</v>
      </c>
    </row>
    <row r="1815" spans="1:1" x14ac:dyDescent="0.25">
      <c r="A1815">
        <v>1</v>
      </c>
    </row>
    <row r="1816" spans="1:1" x14ac:dyDescent="0.25">
      <c r="A1816">
        <v>1</v>
      </c>
    </row>
    <row r="1817" spans="1:1" x14ac:dyDescent="0.25">
      <c r="A1817">
        <v>8</v>
      </c>
    </row>
    <row r="1818" spans="1:1" x14ac:dyDescent="0.25">
      <c r="A1818">
        <v>1</v>
      </c>
    </row>
    <row r="1819" spans="1:1" x14ac:dyDescent="0.25">
      <c r="A1819">
        <v>7</v>
      </c>
    </row>
    <row r="1820" spans="1:1" x14ac:dyDescent="0.25">
      <c r="A1820">
        <v>5</v>
      </c>
    </row>
    <row r="1821" spans="1:1" x14ac:dyDescent="0.25">
      <c r="A1821">
        <v>1</v>
      </c>
    </row>
    <row r="1822" spans="1:1" x14ac:dyDescent="0.25">
      <c r="A1822">
        <v>5</v>
      </c>
    </row>
    <row r="1823" spans="1:1" x14ac:dyDescent="0.25">
      <c r="A1823">
        <v>5</v>
      </c>
    </row>
    <row r="1824" spans="1:1" x14ac:dyDescent="0.25">
      <c r="A1824">
        <v>1</v>
      </c>
    </row>
    <row r="1825" spans="1:1" x14ac:dyDescent="0.25">
      <c r="A1825">
        <v>1</v>
      </c>
    </row>
    <row r="1826" spans="1:1" x14ac:dyDescent="0.25">
      <c r="A1826">
        <v>1</v>
      </c>
    </row>
    <row r="1827" spans="1:1" x14ac:dyDescent="0.25">
      <c r="A1827">
        <v>8</v>
      </c>
    </row>
    <row r="1828" spans="1:1" x14ac:dyDescent="0.25">
      <c r="A1828">
        <v>1</v>
      </c>
    </row>
    <row r="1829" spans="1:1" x14ac:dyDescent="0.25">
      <c r="A1829">
        <v>6</v>
      </c>
    </row>
    <row r="1830" spans="1:1" x14ac:dyDescent="0.25">
      <c r="A1830">
        <v>5</v>
      </c>
    </row>
    <row r="1831" spans="1:1" x14ac:dyDescent="0.25">
      <c r="A1831">
        <v>5</v>
      </c>
    </row>
    <row r="1832" spans="1:1" x14ac:dyDescent="0.25">
      <c r="A1832">
        <v>1</v>
      </c>
    </row>
    <row r="1833" spans="1:1" x14ac:dyDescent="0.25">
      <c r="A1833">
        <v>6</v>
      </c>
    </row>
    <row r="1834" spans="1:1" x14ac:dyDescent="0.25">
      <c r="A1834">
        <v>6</v>
      </c>
    </row>
    <row r="1835" spans="1:1" x14ac:dyDescent="0.25">
      <c r="A1835">
        <v>5</v>
      </c>
    </row>
    <row r="1836" spans="1:1" x14ac:dyDescent="0.25">
      <c r="A1836">
        <v>4</v>
      </c>
    </row>
    <row r="1837" spans="1:1" x14ac:dyDescent="0.25">
      <c r="A1837">
        <v>1</v>
      </c>
    </row>
    <row r="1838" spans="1:1" x14ac:dyDescent="0.25">
      <c r="A1838">
        <v>6</v>
      </c>
    </row>
    <row r="1839" spans="1:1" x14ac:dyDescent="0.25">
      <c r="A1839">
        <v>1</v>
      </c>
    </row>
    <row r="1840" spans="1:1" x14ac:dyDescent="0.25">
      <c r="A1840">
        <v>1</v>
      </c>
    </row>
    <row r="1841" spans="1:1" x14ac:dyDescent="0.25">
      <c r="A1841">
        <v>5</v>
      </c>
    </row>
    <row r="1842" spans="1:1" x14ac:dyDescent="0.25">
      <c r="A1842">
        <v>1</v>
      </c>
    </row>
    <row r="1843" spans="1:1" x14ac:dyDescent="0.25">
      <c r="A1843">
        <v>1</v>
      </c>
    </row>
    <row r="1844" spans="1:1" x14ac:dyDescent="0.25">
      <c r="A1844">
        <v>1</v>
      </c>
    </row>
    <row r="1845" spans="1:1" x14ac:dyDescent="0.25">
      <c r="A1845">
        <v>1</v>
      </c>
    </row>
    <row r="1846" spans="1:1" x14ac:dyDescent="0.25">
      <c r="A1846">
        <v>1</v>
      </c>
    </row>
    <row r="1847" spans="1:1" x14ac:dyDescent="0.25">
      <c r="A1847">
        <v>1</v>
      </c>
    </row>
    <row r="1848" spans="1:1" x14ac:dyDescent="0.25">
      <c r="A1848">
        <v>1</v>
      </c>
    </row>
    <row r="1849" spans="1:1" x14ac:dyDescent="0.25">
      <c r="A1849">
        <v>2</v>
      </c>
    </row>
    <row r="1850" spans="1:1" x14ac:dyDescent="0.25">
      <c r="A1850">
        <v>7</v>
      </c>
    </row>
    <row r="1851" spans="1:1" x14ac:dyDescent="0.25">
      <c r="A1851">
        <v>8</v>
      </c>
    </row>
    <row r="1852" spans="1:1" x14ac:dyDescent="0.25">
      <c r="A1852">
        <v>5</v>
      </c>
    </row>
    <row r="1853" spans="1:1" x14ac:dyDescent="0.25">
      <c r="A1853">
        <v>1</v>
      </c>
    </row>
    <row r="1854" spans="1:1" x14ac:dyDescent="0.25">
      <c r="A1854">
        <v>1</v>
      </c>
    </row>
    <row r="1855" spans="1:1" x14ac:dyDescent="0.25">
      <c r="A1855">
        <v>4</v>
      </c>
    </row>
    <row r="1856" spans="1:1" x14ac:dyDescent="0.25">
      <c r="A1856">
        <v>7</v>
      </c>
    </row>
    <row r="1857" spans="1:1" x14ac:dyDescent="0.25">
      <c r="A1857">
        <v>7</v>
      </c>
    </row>
    <row r="1858" spans="1:1" x14ac:dyDescent="0.25">
      <c r="A1858">
        <v>5</v>
      </c>
    </row>
    <row r="1859" spans="1:1" x14ac:dyDescent="0.25">
      <c r="A1859">
        <v>5</v>
      </c>
    </row>
    <row r="1860" spans="1:1" x14ac:dyDescent="0.25">
      <c r="A1860">
        <v>7</v>
      </c>
    </row>
    <row r="1861" spans="1:1" x14ac:dyDescent="0.25">
      <c r="A1861">
        <v>1</v>
      </c>
    </row>
    <row r="1862" spans="1:1" x14ac:dyDescent="0.25">
      <c r="A1862">
        <v>7</v>
      </c>
    </row>
    <row r="1863" spans="1:1" x14ac:dyDescent="0.25">
      <c r="A1863">
        <v>5</v>
      </c>
    </row>
    <row r="1864" spans="1:1" x14ac:dyDescent="0.25">
      <c r="A1864">
        <v>1</v>
      </c>
    </row>
    <row r="1865" spans="1:1" x14ac:dyDescent="0.25">
      <c r="A1865">
        <v>1</v>
      </c>
    </row>
    <row r="1866" spans="1:1" x14ac:dyDescent="0.25">
      <c r="A1866">
        <v>5</v>
      </c>
    </row>
    <row r="1867" spans="1:1" x14ac:dyDescent="0.25">
      <c r="A1867">
        <v>2</v>
      </c>
    </row>
    <row r="1868" spans="1:1" x14ac:dyDescent="0.25">
      <c r="A1868">
        <v>7</v>
      </c>
    </row>
    <row r="1869" spans="1:1" x14ac:dyDescent="0.25">
      <c r="A1869">
        <v>5</v>
      </c>
    </row>
    <row r="1870" spans="1:1" x14ac:dyDescent="0.25">
      <c r="A1870">
        <v>7</v>
      </c>
    </row>
    <row r="1871" spans="1:1" x14ac:dyDescent="0.25">
      <c r="A1871">
        <v>1</v>
      </c>
    </row>
    <row r="1872" spans="1:1" x14ac:dyDescent="0.25">
      <c r="A1872">
        <v>5</v>
      </c>
    </row>
    <row r="1873" spans="1:1" x14ac:dyDescent="0.25">
      <c r="A1873">
        <v>1</v>
      </c>
    </row>
    <row r="1874" spans="1:1" x14ac:dyDescent="0.25">
      <c r="A1874">
        <v>5</v>
      </c>
    </row>
    <row r="1875" spans="1:1" x14ac:dyDescent="0.25">
      <c r="A1875">
        <v>3</v>
      </c>
    </row>
    <row r="1876" spans="1:1" x14ac:dyDescent="0.25">
      <c r="A1876">
        <v>1</v>
      </c>
    </row>
    <row r="1877" spans="1:1" x14ac:dyDescent="0.25">
      <c r="A1877">
        <v>1</v>
      </c>
    </row>
    <row r="1878" spans="1:1" x14ac:dyDescent="0.25">
      <c r="A1878">
        <v>7</v>
      </c>
    </row>
    <row r="1879" spans="1:1" x14ac:dyDescent="0.25">
      <c r="A1879">
        <v>6</v>
      </c>
    </row>
    <row r="1880" spans="1:1" x14ac:dyDescent="0.25">
      <c r="A1880">
        <v>7</v>
      </c>
    </row>
    <row r="1881" spans="1:1" x14ac:dyDescent="0.25">
      <c r="A1881">
        <v>1</v>
      </c>
    </row>
    <row r="1882" spans="1:1" x14ac:dyDescent="0.25">
      <c r="A1882">
        <v>1</v>
      </c>
    </row>
    <row r="1883" spans="1:1" x14ac:dyDescent="0.25">
      <c r="A1883">
        <v>1</v>
      </c>
    </row>
    <row r="1884" spans="1:1" x14ac:dyDescent="0.25">
      <c r="A1884">
        <v>1</v>
      </c>
    </row>
    <row r="1885" spans="1:1" x14ac:dyDescent="0.25">
      <c r="A1885">
        <v>1</v>
      </c>
    </row>
    <row r="1886" spans="1:1" x14ac:dyDescent="0.25">
      <c r="A1886">
        <v>1</v>
      </c>
    </row>
    <row r="1887" spans="1:1" x14ac:dyDescent="0.25">
      <c r="A1887">
        <v>1</v>
      </c>
    </row>
    <row r="1888" spans="1:1" x14ac:dyDescent="0.25">
      <c r="A1888">
        <v>5</v>
      </c>
    </row>
    <row r="1889" spans="1:1" x14ac:dyDescent="0.25">
      <c r="A1889">
        <v>1</v>
      </c>
    </row>
    <row r="1890" spans="1:1" x14ac:dyDescent="0.25">
      <c r="A1890">
        <v>1</v>
      </c>
    </row>
    <row r="1891" spans="1:1" x14ac:dyDescent="0.25">
      <c r="A1891">
        <v>1</v>
      </c>
    </row>
    <row r="1892" spans="1:1" x14ac:dyDescent="0.25">
      <c r="A1892">
        <v>6</v>
      </c>
    </row>
    <row r="1893" spans="1:1" x14ac:dyDescent="0.25">
      <c r="A1893">
        <v>6</v>
      </c>
    </row>
    <row r="1894" spans="1:1" x14ac:dyDescent="0.25">
      <c r="A1894">
        <v>1</v>
      </c>
    </row>
    <row r="1895" spans="1:1" x14ac:dyDescent="0.25">
      <c r="A1895">
        <v>8</v>
      </c>
    </row>
    <row r="1896" spans="1:1" x14ac:dyDescent="0.25">
      <c r="A1896">
        <v>1</v>
      </c>
    </row>
    <row r="1897" spans="1:1" x14ac:dyDescent="0.25">
      <c r="A1897">
        <v>5</v>
      </c>
    </row>
    <row r="1898" spans="1:1" x14ac:dyDescent="0.25">
      <c r="A1898">
        <v>2</v>
      </c>
    </row>
    <row r="1899" spans="1:1" x14ac:dyDescent="0.25">
      <c r="A1899">
        <v>5</v>
      </c>
    </row>
    <row r="1900" spans="1:1" x14ac:dyDescent="0.25">
      <c r="A1900">
        <v>1</v>
      </c>
    </row>
    <row r="1901" spans="1:1" x14ac:dyDescent="0.25">
      <c r="A1901">
        <v>7</v>
      </c>
    </row>
    <row r="1902" spans="1:1" x14ac:dyDescent="0.25">
      <c r="A1902">
        <v>1</v>
      </c>
    </row>
    <row r="1903" spans="1:1" x14ac:dyDescent="0.25">
      <c r="A1903">
        <v>5</v>
      </c>
    </row>
    <row r="1904" spans="1:1" x14ac:dyDescent="0.25">
      <c r="A1904">
        <v>1</v>
      </c>
    </row>
    <row r="1905" spans="1:1" x14ac:dyDescent="0.25">
      <c r="A1905">
        <v>5</v>
      </c>
    </row>
    <row r="1906" spans="1:1" x14ac:dyDescent="0.25">
      <c r="A1906">
        <v>1</v>
      </c>
    </row>
    <row r="1907" spans="1:1" x14ac:dyDescent="0.25">
      <c r="A1907">
        <v>2</v>
      </c>
    </row>
    <row r="1908" spans="1:1" x14ac:dyDescent="0.25">
      <c r="A1908">
        <v>1</v>
      </c>
    </row>
    <row r="1909" spans="1:1" x14ac:dyDescent="0.25">
      <c r="A1909">
        <v>5</v>
      </c>
    </row>
    <row r="1910" spans="1:1" x14ac:dyDescent="0.25">
      <c r="A1910">
        <v>5</v>
      </c>
    </row>
    <row r="1911" spans="1:1" x14ac:dyDescent="0.25">
      <c r="A1911">
        <v>2</v>
      </c>
    </row>
    <row r="1912" spans="1:1" x14ac:dyDescent="0.25">
      <c r="A1912">
        <v>1</v>
      </c>
    </row>
    <row r="1913" spans="1:1" x14ac:dyDescent="0.25">
      <c r="A1913">
        <v>1</v>
      </c>
    </row>
    <row r="1914" spans="1:1" x14ac:dyDescent="0.25">
      <c r="A1914">
        <v>1</v>
      </c>
    </row>
    <row r="1915" spans="1:1" x14ac:dyDescent="0.25">
      <c r="A1915">
        <v>1</v>
      </c>
    </row>
    <row r="1916" spans="1:1" x14ac:dyDescent="0.25">
      <c r="A1916">
        <v>1</v>
      </c>
    </row>
    <row r="1917" spans="1:1" x14ac:dyDescent="0.25">
      <c r="A1917">
        <v>1</v>
      </c>
    </row>
    <row r="1918" spans="1:1" x14ac:dyDescent="0.25">
      <c r="A1918">
        <v>1</v>
      </c>
    </row>
    <row r="1919" spans="1:1" x14ac:dyDescent="0.25">
      <c r="A1919">
        <v>1</v>
      </c>
    </row>
    <row r="1920" spans="1:1" x14ac:dyDescent="0.25">
      <c r="A1920">
        <v>1</v>
      </c>
    </row>
    <row r="1921" spans="1:1" x14ac:dyDescent="0.25">
      <c r="A1921">
        <v>6</v>
      </c>
    </row>
    <row r="1922" spans="1:1" x14ac:dyDescent="0.25">
      <c r="A1922">
        <v>1</v>
      </c>
    </row>
    <row r="1923" spans="1:1" x14ac:dyDescent="0.25">
      <c r="A1923">
        <v>7</v>
      </c>
    </row>
    <row r="1924" spans="1:1" x14ac:dyDescent="0.25">
      <c r="A1924">
        <v>1</v>
      </c>
    </row>
    <row r="1925" spans="1:1" x14ac:dyDescent="0.25">
      <c r="A1925">
        <v>5</v>
      </c>
    </row>
    <row r="1926" spans="1:1" x14ac:dyDescent="0.25">
      <c r="A1926">
        <v>1</v>
      </c>
    </row>
    <row r="1927" spans="1:1" x14ac:dyDescent="0.25">
      <c r="A1927">
        <v>2</v>
      </c>
    </row>
    <row r="1928" spans="1:1" x14ac:dyDescent="0.25">
      <c r="A1928">
        <v>1</v>
      </c>
    </row>
    <row r="1929" spans="1:1" x14ac:dyDescent="0.25">
      <c r="A1929">
        <v>5</v>
      </c>
    </row>
    <row r="1930" spans="1:1" x14ac:dyDescent="0.25">
      <c r="A1930">
        <v>1</v>
      </c>
    </row>
    <row r="1931" spans="1:1" x14ac:dyDescent="0.25">
      <c r="A1931">
        <v>5</v>
      </c>
    </row>
    <row r="1932" spans="1:1" x14ac:dyDescent="0.25">
      <c r="A1932">
        <v>1</v>
      </c>
    </row>
    <row r="1933" spans="1:1" x14ac:dyDescent="0.25">
      <c r="A1933">
        <v>1</v>
      </c>
    </row>
    <row r="1934" spans="1:1" x14ac:dyDescent="0.25">
      <c r="A1934">
        <v>5</v>
      </c>
    </row>
    <row r="1935" spans="1:1" x14ac:dyDescent="0.25">
      <c r="A1935">
        <v>1</v>
      </c>
    </row>
    <row r="1936" spans="1:1" x14ac:dyDescent="0.25">
      <c r="A1936">
        <v>1</v>
      </c>
    </row>
    <row r="1937" spans="1:1" x14ac:dyDescent="0.25">
      <c r="A1937">
        <v>1</v>
      </c>
    </row>
    <row r="1938" spans="1:1" x14ac:dyDescent="0.25">
      <c r="A1938">
        <v>5</v>
      </c>
    </row>
    <row r="1939" spans="1:1" x14ac:dyDescent="0.25">
      <c r="A1939">
        <v>4</v>
      </c>
    </row>
    <row r="1940" spans="1:1" x14ac:dyDescent="0.25">
      <c r="A1940">
        <v>4</v>
      </c>
    </row>
    <row r="1941" spans="1:1" x14ac:dyDescent="0.25">
      <c r="A1941">
        <v>1</v>
      </c>
    </row>
    <row r="1942" spans="1:1" x14ac:dyDescent="0.25">
      <c r="A1942">
        <v>5</v>
      </c>
    </row>
    <row r="1943" spans="1:1" x14ac:dyDescent="0.25">
      <c r="A1943">
        <v>1</v>
      </c>
    </row>
    <row r="1944" spans="1:1" x14ac:dyDescent="0.25">
      <c r="A1944">
        <v>1</v>
      </c>
    </row>
    <row r="1945" spans="1:1" x14ac:dyDescent="0.25">
      <c r="A1945">
        <v>2</v>
      </c>
    </row>
    <row r="1946" spans="1:1" x14ac:dyDescent="0.25">
      <c r="A1946">
        <v>1</v>
      </c>
    </row>
    <row r="1947" spans="1:1" x14ac:dyDescent="0.25">
      <c r="A1947">
        <v>1</v>
      </c>
    </row>
    <row r="1948" spans="1:1" x14ac:dyDescent="0.25">
      <c r="A1948">
        <v>1</v>
      </c>
    </row>
    <row r="1949" spans="1:1" x14ac:dyDescent="0.25">
      <c r="A1949">
        <v>5</v>
      </c>
    </row>
    <row r="1950" spans="1:1" x14ac:dyDescent="0.25">
      <c r="A1950">
        <v>1</v>
      </c>
    </row>
    <row r="1951" spans="1:1" x14ac:dyDescent="0.25">
      <c r="A1951">
        <v>5</v>
      </c>
    </row>
    <row r="1952" spans="1:1" x14ac:dyDescent="0.25">
      <c r="A1952">
        <v>1</v>
      </c>
    </row>
    <row r="1953" spans="1:1" x14ac:dyDescent="0.25">
      <c r="A1953">
        <v>5</v>
      </c>
    </row>
    <row r="1954" spans="1:1" x14ac:dyDescent="0.25">
      <c r="A1954">
        <v>1</v>
      </c>
    </row>
    <row r="1955" spans="1:1" x14ac:dyDescent="0.25">
      <c r="A1955">
        <v>5</v>
      </c>
    </row>
    <row r="1956" spans="1:1" x14ac:dyDescent="0.25">
      <c r="A1956">
        <v>1</v>
      </c>
    </row>
    <row r="1957" spans="1:1" x14ac:dyDescent="0.25">
      <c r="A1957">
        <v>1</v>
      </c>
    </row>
    <row r="1958" spans="1:1" x14ac:dyDescent="0.25">
      <c r="A1958">
        <v>8</v>
      </c>
    </row>
    <row r="1959" spans="1:1" x14ac:dyDescent="0.25">
      <c r="A1959">
        <v>1</v>
      </c>
    </row>
    <row r="1960" spans="1:1" x14ac:dyDescent="0.25">
      <c r="A1960">
        <v>1</v>
      </c>
    </row>
    <row r="1961" spans="1:1" x14ac:dyDescent="0.25">
      <c r="A1961">
        <v>1</v>
      </c>
    </row>
    <row r="1962" spans="1:1" x14ac:dyDescent="0.25">
      <c r="A1962">
        <v>5</v>
      </c>
    </row>
    <row r="1963" spans="1:1" x14ac:dyDescent="0.25">
      <c r="A1963">
        <v>1</v>
      </c>
    </row>
    <row r="1964" spans="1:1" x14ac:dyDescent="0.25">
      <c r="A1964">
        <v>1</v>
      </c>
    </row>
    <row r="1965" spans="1:1" x14ac:dyDescent="0.25">
      <c r="A1965">
        <v>1</v>
      </c>
    </row>
    <row r="1966" spans="1:1" x14ac:dyDescent="0.25">
      <c r="A1966">
        <v>1</v>
      </c>
    </row>
    <row r="1967" spans="1:1" x14ac:dyDescent="0.25">
      <c r="A1967">
        <v>2</v>
      </c>
    </row>
    <row r="1968" spans="1:1" x14ac:dyDescent="0.25">
      <c r="A1968">
        <v>3</v>
      </c>
    </row>
    <row r="1969" spans="1:1" x14ac:dyDescent="0.25">
      <c r="A1969">
        <v>5</v>
      </c>
    </row>
    <row r="1970" spans="1:1" x14ac:dyDescent="0.25">
      <c r="A1970">
        <v>1</v>
      </c>
    </row>
    <row r="1971" spans="1:1" x14ac:dyDescent="0.25">
      <c r="A1971">
        <v>1</v>
      </c>
    </row>
    <row r="1972" spans="1:1" x14ac:dyDescent="0.25">
      <c r="A1972">
        <v>1</v>
      </c>
    </row>
    <row r="1973" spans="1:1" x14ac:dyDescent="0.25">
      <c r="A1973">
        <v>1</v>
      </c>
    </row>
    <row r="1974" spans="1:1" x14ac:dyDescent="0.25">
      <c r="A1974">
        <v>1</v>
      </c>
    </row>
    <row r="1975" spans="1:1" x14ac:dyDescent="0.25">
      <c r="A1975">
        <v>5</v>
      </c>
    </row>
    <row r="1976" spans="1:1" x14ac:dyDescent="0.25">
      <c r="A1976">
        <v>2</v>
      </c>
    </row>
    <row r="1977" spans="1:1" x14ac:dyDescent="0.25">
      <c r="A1977">
        <v>1</v>
      </c>
    </row>
    <row r="1978" spans="1:1" x14ac:dyDescent="0.25">
      <c r="A1978">
        <v>1</v>
      </c>
    </row>
    <row r="1979" spans="1:1" x14ac:dyDescent="0.25">
      <c r="A1979">
        <v>3</v>
      </c>
    </row>
    <row r="1980" spans="1:1" x14ac:dyDescent="0.25">
      <c r="A1980">
        <v>8</v>
      </c>
    </row>
    <row r="1981" spans="1:1" x14ac:dyDescent="0.25">
      <c r="A1981">
        <v>4</v>
      </c>
    </row>
    <row r="1982" spans="1:1" x14ac:dyDescent="0.25">
      <c r="A1982">
        <v>1</v>
      </c>
    </row>
    <row r="1983" spans="1:1" x14ac:dyDescent="0.25">
      <c r="A1983">
        <v>8</v>
      </c>
    </row>
    <row r="1984" spans="1:1" x14ac:dyDescent="0.25">
      <c r="A1984">
        <v>2</v>
      </c>
    </row>
    <row r="1985" spans="1:1" x14ac:dyDescent="0.25">
      <c r="A1985">
        <v>1</v>
      </c>
    </row>
    <row r="1986" spans="1:1" x14ac:dyDescent="0.25">
      <c r="A1986">
        <v>1</v>
      </c>
    </row>
    <row r="1987" spans="1:1" x14ac:dyDescent="0.25">
      <c r="A1987">
        <v>1</v>
      </c>
    </row>
    <row r="1988" spans="1:1" x14ac:dyDescent="0.25">
      <c r="A1988">
        <v>1</v>
      </c>
    </row>
    <row r="1989" spans="1:1" x14ac:dyDescent="0.25">
      <c r="A1989">
        <v>4</v>
      </c>
    </row>
    <row r="1990" spans="1:1" x14ac:dyDescent="0.25">
      <c r="A1990">
        <v>7</v>
      </c>
    </row>
    <row r="1991" spans="1:1" x14ac:dyDescent="0.25">
      <c r="A1991">
        <v>1</v>
      </c>
    </row>
    <row r="1992" spans="1:1" x14ac:dyDescent="0.25">
      <c r="A1992">
        <v>1</v>
      </c>
    </row>
    <row r="1993" spans="1:1" x14ac:dyDescent="0.25">
      <c r="A1993">
        <v>1</v>
      </c>
    </row>
    <row r="1994" spans="1:1" x14ac:dyDescent="0.25">
      <c r="A1994">
        <v>5</v>
      </c>
    </row>
    <row r="1995" spans="1:1" x14ac:dyDescent="0.25">
      <c r="A1995">
        <v>1</v>
      </c>
    </row>
    <row r="1996" spans="1:1" x14ac:dyDescent="0.25">
      <c r="A1996">
        <v>2</v>
      </c>
    </row>
    <row r="1997" spans="1:1" x14ac:dyDescent="0.25">
      <c r="A1997">
        <v>5</v>
      </c>
    </row>
    <row r="1998" spans="1:1" x14ac:dyDescent="0.25">
      <c r="A1998">
        <v>7</v>
      </c>
    </row>
    <row r="1999" spans="1:1" x14ac:dyDescent="0.25">
      <c r="A1999">
        <v>5</v>
      </c>
    </row>
    <row r="2000" spans="1:1" x14ac:dyDescent="0.25">
      <c r="A2000">
        <v>2</v>
      </c>
    </row>
    <row r="2001" spans="1:1" x14ac:dyDescent="0.25">
      <c r="A2001">
        <v>5</v>
      </c>
    </row>
    <row r="2002" spans="1:1" x14ac:dyDescent="0.25">
      <c r="A2002">
        <v>1</v>
      </c>
    </row>
    <row r="2003" spans="1:1" x14ac:dyDescent="0.25">
      <c r="A2003">
        <v>1</v>
      </c>
    </row>
    <row r="2004" spans="1:1" x14ac:dyDescent="0.25">
      <c r="A2004">
        <v>5</v>
      </c>
    </row>
    <row r="2005" spans="1:1" x14ac:dyDescent="0.25">
      <c r="A2005">
        <v>5</v>
      </c>
    </row>
    <row r="2006" spans="1:1" x14ac:dyDescent="0.25">
      <c r="A2006">
        <v>1</v>
      </c>
    </row>
    <row r="2007" spans="1:1" x14ac:dyDescent="0.25">
      <c r="A2007">
        <v>1</v>
      </c>
    </row>
    <row r="2008" spans="1:1" x14ac:dyDescent="0.25">
      <c r="A2008">
        <v>7</v>
      </c>
    </row>
    <row r="2009" spans="1:1" x14ac:dyDescent="0.25">
      <c r="A2009">
        <v>7</v>
      </c>
    </row>
    <row r="2010" spans="1:1" x14ac:dyDescent="0.25">
      <c r="A2010">
        <v>1</v>
      </c>
    </row>
    <row r="2011" spans="1:1" x14ac:dyDescent="0.25">
      <c r="A2011">
        <v>7</v>
      </c>
    </row>
    <row r="2012" spans="1:1" x14ac:dyDescent="0.25">
      <c r="A2012">
        <v>7</v>
      </c>
    </row>
    <row r="2013" spans="1:1" x14ac:dyDescent="0.25">
      <c r="A2013">
        <v>7</v>
      </c>
    </row>
    <row r="2014" spans="1:1" x14ac:dyDescent="0.25">
      <c r="A2014">
        <v>1</v>
      </c>
    </row>
    <row r="2015" spans="1:1" x14ac:dyDescent="0.25">
      <c r="A2015">
        <v>1</v>
      </c>
    </row>
    <row r="2016" spans="1:1" x14ac:dyDescent="0.25">
      <c r="A2016">
        <v>1</v>
      </c>
    </row>
    <row r="2017" spans="1:1" x14ac:dyDescent="0.25">
      <c r="A2017">
        <v>6</v>
      </c>
    </row>
    <row r="2018" spans="1:1" x14ac:dyDescent="0.25">
      <c r="A2018">
        <v>1</v>
      </c>
    </row>
    <row r="2019" spans="1:1" x14ac:dyDescent="0.25">
      <c r="A2019">
        <v>1</v>
      </c>
    </row>
    <row r="2020" spans="1:1" x14ac:dyDescent="0.25">
      <c r="A2020">
        <v>4</v>
      </c>
    </row>
    <row r="2021" spans="1:1" x14ac:dyDescent="0.25">
      <c r="A2021">
        <v>2</v>
      </c>
    </row>
    <row r="2022" spans="1:1" x14ac:dyDescent="0.25">
      <c r="A2022">
        <v>1</v>
      </c>
    </row>
    <row r="2023" spans="1:1" x14ac:dyDescent="0.25">
      <c r="A2023">
        <v>1</v>
      </c>
    </row>
    <row r="2024" spans="1:1" x14ac:dyDescent="0.25">
      <c r="A2024">
        <v>7</v>
      </c>
    </row>
    <row r="2025" spans="1:1" x14ac:dyDescent="0.25">
      <c r="A2025">
        <v>7</v>
      </c>
    </row>
    <row r="2026" spans="1:1" x14ac:dyDescent="0.25">
      <c r="A2026">
        <v>1</v>
      </c>
    </row>
    <row r="2027" spans="1:1" x14ac:dyDescent="0.25">
      <c r="A2027">
        <v>3</v>
      </c>
    </row>
    <row r="2028" spans="1:1" x14ac:dyDescent="0.25">
      <c r="A2028">
        <v>2</v>
      </c>
    </row>
    <row r="2029" spans="1:1" x14ac:dyDescent="0.25">
      <c r="A2029">
        <v>1</v>
      </c>
    </row>
    <row r="2030" spans="1:1" x14ac:dyDescent="0.25">
      <c r="A2030">
        <v>1</v>
      </c>
    </row>
    <row r="2031" spans="1:1" x14ac:dyDescent="0.25">
      <c r="A2031">
        <v>2</v>
      </c>
    </row>
    <row r="2032" spans="1:1" x14ac:dyDescent="0.25">
      <c r="A2032">
        <v>1</v>
      </c>
    </row>
    <row r="2033" spans="1:1" x14ac:dyDescent="0.25">
      <c r="A2033">
        <v>1</v>
      </c>
    </row>
    <row r="2034" spans="1:1" x14ac:dyDescent="0.25">
      <c r="A2034">
        <v>7</v>
      </c>
    </row>
    <row r="2035" spans="1:1" x14ac:dyDescent="0.25">
      <c r="A2035">
        <v>5</v>
      </c>
    </row>
    <row r="2036" spans="1:1" x14ac:dyDescent="0.25">
      <c r="A2036">
        <v>5</v>
      </c>
    </row>
    <row r="2037" spans="1:1" x14ac:dyDescent="0.25">
      <c r="A2037">
        <v>1</v>
      </c>
    </row>
    <row r="2038" spans="1:1" x14ac:dyDescent="0.25">
      <c r="A2038">
        <v>1</v>
      </c>
    </row>
    <row r="2039" spans="1:1" x14ac:dyDescent="0.25">
      <c r="A2039">
        <v>2</v>
      </c>
    </row>
    <row r="2040" spans="1:1" x14ac:dyDescent="0.25">
      <c r="A2040">
        <v>5</v>
      </c>
    </row>
    <row r="2041" spans="1:1" x14ac:dyDescent="0.25">
      <c r="A2041">
        <v>7</v>
      </c>
    </row>
    <row r="2042" spans="1:1" x14ac:dyDescent="0.25">
      <c r="A2042">
        <v>5</v>
      </c>
    </row>
    <row r="2043" spans="1:1" x14ac:dyDescent="0.25">
      <c r="A2043">
        <v>1</v>
      </c>
    </row>
    <row r="2044" spans="1:1" x14ac:dyDescent="0.25">
      <c r="A2044">
        <v>1</v>
      </c>
    </row>
    <row r="2045" spans="1:1" x14ac:dyDescent="0.25">
      <c r="A2045">
        <v>2</v>
      </c>
    </row>
    <row r="2046" spans="1:1" x14ac:dyDescent="0.25">
      <c r="A2046">
        <v>5</v>
      </c>
    </row>
    <row r="2047" spans="1:1" x14ac:dyDescent="0.25">
      <c r="A2047">
        <v>6</v>
      </c>
    </row>
    <row r="2048" spans="1:1" x14ac:dyDescent="0.25">
      <c r="A2048">
        <v>1</v>
      </c>
    </row>
    <row r="2049" spans="1:1" x14ac:dyDescent="0.25">
      <c r="A2049">
        <v>1</v>
      </c>
    </row>
    <row r="2050" spans="1:1" x14ac:dyDescent="0.25">
      <c r="A2050">
        <v>6</v>
      </c>
    </row>
    <row r="2051" spans="1:1" x14ac:dyDescent="0.25">
      <c r="A2051">
        <v>1</v>
      </c>
    </row>
    <row r="2052" spans="1:1" x14ac:dyDescent="0.25">
      <c r="A2052">
        <v>4</v>
      </c>
    </row>
    <row r="2053" spans="1:1" x14ac:dyDescent="0.25">
      <c r="A2053">
        <v>1</v>
      </c>
    </row>
    <row r="2054" spans="1:1" x14ac:dyDescent="0.25">
      <c r="A2054">
        <v>5</v>
      </c>
    </row>
    <row r="2055" spans="1:1" x14ac:dyDescent="0.25">
      <c r="A2055">
        <v>1</v>
      </c>
    </row>
    <row r="2056" spans="1:1" x14ac:dyDescent="0.25">
      <c r="A2056">
        <v>1</v>
      </c>
    </row>
    <row r="2057" spans="1:1" x14ac:dyDescent="0.25">
      <c r="A2057">
        <v>1</v>
      </c>
    </row>
    <row r="2058" spans="1:1" x14ac:dyDescent="0.25">
      <c r="A2058">
        <v>7</v>
      </c>
    </row>
    <row r="2059" spans="1:1" x14ac:dyDescent="0.25">
      <c r="A2059">
        <v>5</v>
      </c>
    </row>
    <row r="2060" spans="1:1" x14ac:dyDescent="0.25">
      <c r="A2060">
        <v>5</v>
      </c>
    </row>
    <row r="2061" spans="1:1" x14ac:dyDescent="0.25">
      <c r="A2061">
        <v>2</v>
      </c>
    </row>
    <row r="2062" spans="1:1" x14ac:dyDescent="0.25">
      <c r="A2062">
        <v>1</v>
      </c>
    </row>
    <row r="2063" spans="1:1" x14ac:dyDescent="0.25">
      <c r="A2063">
        <v>1</v>
      </c>
    </row>
    <row r="2064" spans="1:1" x14ac:dyDescent="0.25">
      <c r="A2064">
        <v>7</v>
      </c>
    </row>
    <row r="2065" spans="1:1" x14ac:dyDescent="0.25">
      <c r="A2065">
        <v>1</v>
      </c>
    </row>
    <row r="2066" spans="1:1" x14ac:dyDescent="0.25">
      <c r="A2066">
        <v>1</v>
      </c>
    </row>
    <row r="2067" spans="1:1" x14ac:dyDescent="0.25">
      <c r="A2067">
        <v>7</v>
      </c>
    </row>
    <row r="2068" spans="1:1" x14ac:dyDescent="0.25">
      <c r="A2068">
        <v>2</v>
      </c>
    </row>
    <row r="2069" spans="1:1" x14ac:dyDescent="0.25">
      <c r="A2069">
        <v>1</v>
      </c>
    </row>
    <row r="2070" spans="1:1" x14ac:dyDescent="0.25">
      <c r="A2070">
        <v>2</v>
      </c>
    </row>
    <row r="2071" spans="1:1" x14ac:dyDescent="0.25">
      <c r="A2071">
        <v>1</v>
      </c>
    </row>
    <row r="2072" spans="1:1" x14ac:dyDescent="0.25">
      <c r="A2072">
        <v>1</v>
      </c>
    </row>
    <row r="2073" spans="1:1" x14ac:dyDescent="0.25">
      <c r="A2073">
        <v>1</v>
      </c>
    </row>
    <row r="2074" spans="1:1" x14ac:dyDescent="0.25">
      <c r="A2074">
        <v>1</v>
      </c>
    </row>
    <row r="2075" spans="1:1" x14ac:dyDescent="0.25">
      <c r="A2075">
        <v>1</v>
      </c>
    </row>
    <row r="2076" spans="1:1" x14ac:dyDescent="0.25">
      <c r="A2076">
        <v>4</v>
      </c>
    </row>
    <row r="2077" spans="1:1" x14ac:dyDescent="0.25">
      <c r="A2077">
        <v>1</v>
      </c>
    </row>
    <row r="2078" spans="1:1" x14ac:dyDescent="0.25">
      <c r="A2078">
        <v>2</v>
      </c>
    </row>
    <row r="2079" spans="1:1" x14ac:dyDescent="0.25">
      <c r="A2079">
        <v>1</v>
      </c>
    </row>
    <row r="2080" spans="1:1" x14ac:dyDescent="0.25">
      <c r="A2080">
        <v>1</v>
      </c>
    </row>
    <row r="2081" spans="1:1" x14ac:dyDescent="0.25">
      <c r="A2081">
        <v>1</v>
      </c>
    </row>
    <row r="2082" spans="1:1" x14ac:dyDescent="0.25">
      <c r="A2082">
        <v>2</v>
      </c>
    </row>
    <row r="2083" spans="1:1" x14ac:dyDescent="0.25">
      <c r="A2083">
        <v>1</v>
      </c>
    </row>
    <row r="2084" spans="1:1" x14ac:dyDescent="0.25">
      <c r="A2084">
        <v>2</v>
      </c>
    </row>
    <row r="2085" spans="1:1" x14ac:dyDescent="0.25">
      <c r="A2085">
        <v>1</v>
      </c>
    </row>
    <row r="2086" spans="1:1" x14ac:dyDescent="0.25">
      <c r="A2086">
        <v>2</v>
      </c>
    </row>
    <row r="2087" spans="1:1" x14ac:dyDescent="0.25">
      <c r="A2087">
        <v>5</v>
      </c>
    </row>
    <row r="2088" spans="1:1" x14ac:dyDescent="0.25">
      <c r="A2088">
        <v>1</v>
      </c>
    </row>
    <row r="2089" spans="1:1" x14ac:dyDescent="0.25">
      <c r="A2089">
        <v>1</v>
      </c>
    </row>
    <row r="2090" spans="1:1" x14ac:dyDescent="0.25">
      <c r="A2090">
        <v>7</v>
      </c>
    </row>
    <row r="2091" spans="1:1" x14ac:dyDescent="0.25">
      <c r="A2091">
        <v>1</v>
      </c>
    </row>
    <row r="2092" spans="1:1" x14ac:dyDescent="0.25">
      <c r="A2092">
        <v>2</v>
      </c>
    </row>
    <row r="2093" spans="1:1" x14ac:dyDescent="0.25">
      <c r="A2093">
        <v>1</v>
      </c>
    </row>
    <row r="2094" spans="1:1" x14ac:dyDescent="0.25">
      <c r="A2094">
        <v>7</v>
      </c>
    </row>
    <row r="2095" spans="1:1" x14ac:dyDescent="0.25">
      <c r="A2095">
        <v>7</v>
      </c>
    </row>
    <row r="2096" spans="1:1" x14ac:dyDescent="0.25">
      <c r="A2096">
        <v>2</v>
      </c>
    </row>
    <row r="2097" spans="1:1" x14ac:dyDescent="0.25">
      <c r="A2097">
        <v>1</v>
      </c>
    </row>
    <row r="2098" spans="1:1" x14ac:dyDescent="0.25">
      <c r="A2098">
        <v>1</v>
      </c>
    </row>
    <row r="2099" spans="1:1" x14ac:dyDescent="0.25">
      <c r="A2099">
        <v>1</v>
      </c>
    </row>
    <row r="2100" spans="1:1" x14ac:dyDescent="0.25">
      <c r="A2100">
        <v>5</v>
      </c>
    </row>
    <row r="2101" spans="1:1" x14ac:dyDescent="0.25">
      <c r="A2101">
        <v>1</v>
      </c>
    </row>
    <row r="2102" spans="1:1" x14ac:dyDescent="0.25">
      <c r="A2102">
        <v>5</v>
      </c>
    </row>
    <row r="2103" spans="1:1" x14ac:dyDescent="0.25">
      <c r="A2103">
        <v>8</v>
      </c>
    </row>
    <row r="2104" spans="1:1" x14ac:dyDescent="0.25">
      <c r="A2104">
        <v>5</v>
      </c>
    </row>
    <row r="2105" spans="1:1" x14ac:dyDescent="0.25">
      <c r="A2105">
        <v>5</v>
      </c>
    </row>
    <row r="2106" spans="1:1" x14ac:dyDescent="0.25">
      <c r="A2106">
        <v>2</v>
      </c>
    </row>
    <row r="2107" spans="1:1" x14ac:dyDescent="0.25">
      <c r="A2107">
        <v>5</v>
      </c>
    </row>
    <row r="2108" spans="1:1" x14ac:dyDescent="0.25">
      <c r="A2108">
        <v>7</v>
      </c>
    </row>
    <row r="2109" spans="1:1" x14ac:dyDescent="0.25">
      <c r="A2109">
        <v>5</v>
      </c>
    </row>
    <row r="2110" spans="1:1" x14ac:dyDescent="0.25">
      <c r="A2110">
        <v>1</v>
      </c>
    </row>
    <row r="2111" spans="1:1" x14ac:dyDescent="0.25">
      <c r="A2111">
        <v>1</v>
      </c>
    </row>
    <row r="2112" spans="1:1" x14ac:dyDescent="0.25">
      <c r="A2112">
        <v>1</v>
      </c>
    </row>
    <row r="2113" spans="1:1" x14ac:dyDescent="0.25">
      <c r="A2113">
        <v>2</v>
      </c>
    </row>
    <row r="2114" spans="1:1" x14ac:dyDescent="0.25">
      <c r="A2114">
        <v>7</v>
      </c>
    </row>
    <row r="2115" spans="1:1" x14ac:dyDescent="0.25">
      <c r="A2115">
        <v>2</v>
      </c>
    </row>
    <row r="2116" spans="1:1" x14ac:dyDescent="0.25">
      <c r="A2116">
        <v>5</v>
      </c>
    </row>
    <row r="2117" spans="1:1" x14ac:dyDescent="0.25">
      <c r="A2117">
        <v>1</v>
      </c>
    </row>
    <row r="2118" spans="1:1" x14ac:dyDescent="0.25">
      <c r="A2118">
        <v>5</v>
      </c>
    </row>
    <row r="2119" spans="1:1" x14ac:dyDescent="0.25">
      <c r="A2119">
        <v>7</v>
      </c>
    </row>
    <row r="2120" spans="1:1" x14ac:dyDescent="0.25">
      <c r="A2120">
        <v>5</v>
      </c>
    </row>
    <row r="2121" spans="1:1" x14ac:dyDescent="0.25">
      <c r="A2121">
        <v>4</v>
      </c>
    </row>
    <row r="2122" spans="1:1" x14ac:dyDescent="0.25">
      <c r="A2122">
        <v>1</v>
      </c>
    </row>
    <row r="2123" spans="1:1" x14ac:dyDescent="0.25">
      <c r="A2123">
        <v>2</v>
      </c>
    </row>
    <row r="2124" spans="1:1" x14ac:dyDescent="0.25">
      <c r="A2124">
        <v>7</v>
      </c>
    </row>
    <row r="2125" spans="1:1" x14ac:dyDescent="0.25">
      <c r="A2125">
        <v>8</v>
      </c>
    </row>
    <row r="2126" spans="1:1" x14ac:dyDescent="0.25">
      <c r="A2126">
        <v>4</v>
      </c>
    </row>
    <row r="2127" spans="1:1" x14ac:dyDescent="0.25">
      <c r="A2127">
        <v>5</v>
      </c>
    </row>
    <row r="2128" spans="1:1" x14ac:dyDescent="0.25">
      <c r="A2128">
        <v>5</v>
      </c>
    </row>
    <row r="2129" spans="1:1" x14ac:dyDescent="0.25">
      <c r="A2129">
        <v>5</v>
      </c>
    </row>
    <row r="2130" spans="1:1" x14ac:dyDescent="0.25">
      <c r="A2130">
        <v>7</v>
      </c>
    </row>
    <row r="2131" spans="1:1" x14ac:dyDescent="0.25">
      <c r="A2131">
        <v>1</v>
      </c>
    </row>
    <row r="2132" spans="1:1" x14ac:dyDescent="0.25">
      <c r="A2132">
        <v>1</v>
      </c>
    </row>
    <row r="2133" spans="1:1" x14ac:dyDescent="0.25">
      <c r="A2133">
        <v>5</v>
      </c>
    </row>
    <row r="2134" spans="1:1" x14ac:dyDescent="0.25">
      <c r="A2134">
        <v>5</v>
      </c>
    </row>
    <row r="2135" spans="1:1" x14ac:dyDescent="0.25">
      <c r="A2135">
        <v>1</v>
      </c>
    </row>
    <row r="2136" spans="1:1" x14ac:dyDescent="0.25">
      <c r="A2136">
        <v>7</v>
      </c>
    </row>
    <row r="2137" spans="1:1" x14ac:dyDescent="0.25">
      <c r="A2137">
        <v>6</v>
      </c>
    </row>
    <row r="2138" spans="1:1" x14ac:dyDescent="0.25">
      <c r="A2138">
        <v>5</v>
      </c>
    </row>
    <row r="2139" spans="1:1" x14ac:dyDescent="0.25">
      <c r="A2139">
        <v>7</v>
      </c>
    </row>
    <row r="2140" spans="1:1" x14ac:dyDescent="0.25">
      <c r="A2140">
        <v>1</v>
      </c>
    </row>
    <row r="2141" spans="1:1" x14ac:dyDescent="0.25">
      <c r="A2141">
        <v>2</v>
      </c>
    </row>
    <row r="2142" spans="1:1" x14ac:dyDescent="0.25">
      <c r="A2142">
        <v>1</v>
      </c>
    </row>
    <row r="2143" spans="1:1" x14ac:dyDescent="0.25">
      <c r="A2143">
        <v>7</v>
      </c>
    </row>
    <row r="2144" spans="1:1" x14ac:dyDescent="0.25">
      <c r="A2144">
        <v>1</v>
      </c>
    </row>
    <row r="2145" spans="1:1" x14ac:dyDescent="0.25">
      <c r="A2145">
        <v>4</v>
      </c>
    </row>
    <row r="2146" spans="1:1" x14ac:dyDescent="0.25">
      <c r="A2146">
        <v>1</v>
      </c>
    </row>
    <row r="2147" spans="1:1" x14ac:dyDescent="0.25">
      <c r="A2147">
        <v>5</v>
      </c>
    </row>
    <row r="2148" spans="1:1" x14ac:dyDescent="0.25">
      <c r="A2148">
        <v>1</v>
      </c>
    </row>
    <row r="2149" spans="1:1" x14ac:dyDescent="0.25">
      <c r="A2149">
        <v>1</v>
      </c>
    </row>
    <row r="2150" spans="1:1" x14ac:dyDescent="0.25">
      <c r="A2150">
        <v>7</v>
      </c>
    </row>
    <row r="2151" spans="1:1" x14ac:dyDescent="0.25">
      <c r="A2151">
        <v>2</v>
      </c>
    </row>
    <row r="2152" spans="1:1" x14ac:dyDescent="0.25">
      <c r="A2152">
        <v>5</v>
      </c>
    </row>
    <row r="2153" spans="1:1" x14ac:dyDescent="0.25">
      <c r="A2153">
        <v>1</v>
      </c>
    </row>
    <row r="2154" spans="1:1" x14ac:dyDescent="0.25">
      <c r="A2154">
        <v>1</v>
      </c>
    </row>
    <row r="2155" spans="1:1" x14ac:dyDescent="0.25">
      <c r="A2155">
        <v>7</v>
      </c>
    </row>
    <row r="2156" spans="1:1" x14ac:dyDescent="0.25">
      <c r="A2156">
        <v>1</v>
      </c>
    </row>
    <row r="2157" spans="1:1" x14ac:dyDescent="0.25">
      <c r="A2157">
        <v>6</v>
      </c>
    </row>
    <row r="2158" spans="1:1" x14ac:dyDescent="0.25">
      <c r="A2158">
        <v>6</v>
      </c>
    </row>
    <row r="2159" spans="1:1" x14ac:dyDescent="0.25">
      <c r="A2159">
        <v>6</v>
      </c>
    </row>
    <row r="2160" spans="1:1" x14ac:dyDescent="0.25">
      <c r="A2160">
        <v>1</v>
      </c>
    </row>
    <row r="2161" spans="1:1" x14ac:dyDescent="0.25">
      <c r="A2161">
        <v>4</v>
      </c>
    </row>
    <row r="2162" spans="1:1" x14ac:dyDescent="0.25">
      <c r="A2162">
        <v>2</v>
      </c>
    </row>
    <row r="2163" spans="1:1" x14ac:dyDescent="0.25">
      <c r="A2163">
        <v>5</v>
      </c>
    </row>
    <row r="2164" spans="1:1" x14ac:dyDescent="0.25">
      <c r="A2164">
        <v>1</v>
      </c>
    </row>
    <row r="2165" spans="1:1" x14ac:dyDescent="0.25">
      <c r="A2165">
        <v>2</v>
      </c>
    </row>
    <row r="2166" spans="1:1" x14ac:dyDescent="0.25">
      <c r="A2166">
        <v>5</v>
      </c>
    </row>
    <row r="2167" spans="1:1" x14ac:dyDescent="0.25">
      <c r="A2167">
        <v>2</v>
      </c>
    </row>
    <row r="2168" spans="1:1" x14ac:dyDescent="0.25">
      <c r="A2168">
        <v>1</v>
      </c>
    </row>
    <row r="2169" spans="1:1" x14ac:dyDescent="0.25">
      <c r="A2169">
        <v>1</v>
      </c>
    </row>
    <row r="2170" spans="1:1" x14ac:dyDescent="0.25">
      <c r="A2170">
        <v>1</v>
      </c>
    </row>
    <row r="2171" spans="1:1" x14ac:dyDescent="0.25">
      <c r="A2171">
        <v>1</v>
      </c>
    </row>
    <row r="2172" spans="1:1" x14ac:dyDescent="0.25">
      <c r="A2172">
        <v>1</v>
      </c>
    </row>
    <row r="2173" spans="1:1" x14ac:dyDescent="0.25">
      <c r="A2173">
        <v>1</v>
      </c>
    </row>
    <row r="2174" spans="1:1" x14ac:dyDescent="0.25">
      <c r="A2174">
        <v>6</v>
      </c>
    </row>
    <row r="2175" spans="1:1" x14ac:dyDescent="0.25">
      <c r="A2175">
        <v>1</v>
      </c>
    </row>
    <row r="2176" spans="1:1" x14ac:dyDescent="0.25">
      <c r="A2176">
        <v>7</v>
      </c>
    </row>
    <row r="2177" spans="1:1" x14ac:dyDescent="0.25">
      <c r="A2177">
        <v>1</v>
      </c>
    </row>
    <row r="2178" spans="1:1" x14ac:dyDescent="0.25">
      <c r="A2178">
        <v>6</v>
      </c>
    </row>
    <row r="2179" spans="1:1" x14ac:dyDescent="0.25">
      <c r="A2179">
        <v>5</v>
      </c>
    </row>
    <row r="2180" spans="1:1" x14ac:dyDescent="0.25">
      <c r="A2180">
        <v>1</v>
      </c>
    </row>
    <row r="2181" spans="1:1" x14ac:dyDescent="0.25">
      <c r="A2181">
        <v>1</v>
      </c>
    </row>
    <row r="2182" spans="1:1" x14ac:dyDescent="0.25">
      <c r="A2182">
        <v>7</v>
      </c>
    </row>
    <row r="2183" spans="1:1" x14ac:dyDescent="0.25">
      <c r="A2183">
        <v>1</v>
      </c>
    </row>
    <row r="2184" spans="1:1" x14ac:dyDescent="0.25">
      <c r="A2184">
        <v>1</v>
      </c>
    </row>
    <row r="2185" spans="1:1" x14ac:dyDescent="0.25">
      <c r="A2185">
        <v>1</v>
      </c>
    </row>
    <row r="2186" spans="1:1" x14ac:dyDescent="0.25">
      <c r="A2186">
        <v>1</v>
      </c>
    </row>
    <row r="2187" spans="1:1" x14ac:dyDescent="0.25">
      <c r="A2187">
        <v>1</v>
      </c>
    </row>
    <row r="2188" spans="1:1" x14ac:dyDescent="0.25">
      <c r="A2188">
        <v>1</v>
      </c>
    </row>
    <row r="2189" spans="1:1" x14ac:dyDescent="0.25">
      <c r="A2189">
        <v>5</v>
      </c>
    </row>
    <row r="2190" spans="1:1" x14ac:dyDescent="0.25">
      <c r="A2190">
        <v>4</v>
      </c>
    </row>
    <row r="2191" spans="1:1" x14ac:dyDescent="0.25">
      <c r="A2191">
        <v>5</v>
      </c>
    </row>
    <row r="2192" spans="1:1" x14ac:dyDescent="0.25">
      <c r="A2192">
        <v>5</v>
      </c>
    </row>
    <row r="2193" spans="1:1" x14ac:dyDescent="0.25">
      <c r="A2193">
        <v>1</v>
      </c>
    </row>
    <row r="2194" spans="1:1" x14ac:dyDescent="0.25">
      <c r="A2194">
        <v>1</v>
      </c>
    </row>
    <row r="2195" spans="1:1" x14ac:dyDescent="0.25">
      <c r="A2195">
        <v>1</v>
      </c>
    </row>
    <row r="2196" spans="1:1" x14ac:dyDescent="0.25">
      <c r="A2196">
        <v>5</v>
      </c>
    </row>
    <row r="2197" spans="1:1" x14ac:dyDescent="0.25">
      <c r="A2197">
        <v>8</v>
      </c>
    </row>
    <row r="2198" spans="1:1" x14ac:dyDescent="0.25">
      <c r="A2198">
        <v>7</v>
      </c>
    </row>
    <row r="2199" spans="1:1" x14ac:dyDescent="0.25">
      <c r="A2199">
        <v>5</v>
      </c>
    </row>
    <row r="2200" spans="1:1" x14ac:dyDescent="0.25">
      <c r="A2200">
        <v>2</v>
      </c>
    </row>
    <row r="2201" spans="1:1" x14ac:dyDescent="0.25">
      <c r="A2201">
        <v>1</v>
      </c>
    </row>
    <row r="2202" spans="1:1" x14ac:dyDescent="0.25">
      <c r="A2202">
        <v>5</v>
      </c>
    </row>
    <row r="2203" spans="1:1" x14ac:dyDescent="0.25">
      <c r="A2203">
        <v>4</v>
      </c>
    </row>
    <row r="2204" spans="1:1" x14ac:dyDescent="0.25">
      <c r="A2204">
        <v>5</v>
      </c>
    </row>
    <row r="2205" spans="1:1" x14ac:dyDescent="0.25">
      <c r="A2205">
        <v>5</v>
      </c>
    </row>
    <row r="2206" spans="1:1" x14ac:dyDescent="0.25">
      <c r="A2206">
        <v>1</v>
      </c>
    </row>
    <row r="2207" spans="1:1" x14ac:dyDescent="0.25">
      <c r="A2207">
        <v>7</v>
      </c>
    </row>
    <row r="2208" spans="1:1" x14ac:dyDescent="0.25">
      <c r="A2208">
        <v>1</v>
      </c>
    </row>
    <row r="2209" spans="1:1" x14ac:dyDescent="0.25">
      <c r="A2209">
        <v>2</v>
      </c>
    </row>
    <row r="2210" spans="1:1" x14ac:dyDescent="0.25">
      <c r="A2210">
        <v>4</v>
      </c>
    </row>
    <row r="2211" spans="1:1" x14ac:dyDescent="0.25">
      <c r="A2211">
        <v>7</v>
      </c>
    </row>
    <row r="2212" spans="1:1" x14ac:dyDescent="0.25">
      <c r="A2212">
        <v>2</v>
      </c>
    </row>
    <row r="2213" spans="1:1" x14ac:dyDescent="0.25">
      <c r="A2213">
        <v>1</v>
      </c>
    </row>
    <row r="2214" spans="1:1" x14ac:dyDescent="0.25">
      <c r="A2214">
        <v>7</v>
      </c>
    </row>
    <row r="2215" spans="1:1" x14ac:dyDescent="0.25">
      <c r="A2215">
        <v>1</v>
      </c>
    </row>
    <row r="2216" spans="1:1" x14ac:dyDescent="0.25">
      <c r="A2216">
        <v>1</v>
      </c>
    </row>
    <row r="2217" spans="1:1" x14ac:dyDescent="0.25">
      <c r="A2217">
        <v>1</v>
      </c>
    </row>
    <row r="2218" spans="1:1" x14ac:dyDescent="0.25">
      <c r="A2218">
        <v>1</v>
      </c>
    </row>
    <row r="2219" spans="1:1" x14ac:dyDescent="0.25">
      <c r="A2219">
        <v>1</v>
      </c>
    </row>
    <row r="2220" spans="1:1" x14ac:dyDescent="0.25">
      <c r="A2220">
        <v>1</v>
      </c>
    </row>
    <row r="2221" spans="1:1" x14ac:dyDescent="0.25">
      <c r="A2221">
        <v>1</v>
      </c>
    </row>
    <row r="2222" spans="1:1" x14ac:dyDescent="0.25">
      <c r="A2222">
        <v>1</v>
      </c>
    </row>
    <row r="2223" spans="1:1" x14ac:dyDescent="0.25">
      <c r="A2223">
        <v>6</v>
      </c>
    </row>
    <row r="2224" spans="1:1" x14ac:dyDescent="0.25">
      <c r="A2224">
        <v>1</v>
      </c>
    </row>
    <row r="2225" spans="1:1" x14ac:dyDescent="0.25">
      <c r="A2225">
        <v>7</v>
      </c>
    </row>
    <row r="2226" spans="1:1" x14ac:dyDescent="0.25">
      <c r="A2226">
        <v>1</v>
      </c>
    </row>
    <row r="2227" spans="1:1" x14ac:dyDescent="0.25">
      <c r="A2227">
        <v>1</v>
      </c>
    </row>
    <row r="2228" spans="1:1" x14ac:dyDescent="0.25">
      <c r="A2228">
        <v>7</v>
      </c>
    </row>
    <row r="2229" spans="1:1" x14ac:dyDescent="0.25">
      <c r="A2229">
        <v>1</v>
      </c>
    </row>
    <row r="2230" spans="1:1" x14ac:dyDescent="0.25">
      <c r="A2230">
        <v>1</v>
      </c>
    </row>
    <row r="2231" spans="1:1" x14ac:dyDescent="0.25">
      <c r="A2231">
        <v>1</v>
      </c>
    </row>
    <row r="2232" spans="1:1" x14ac:dyDescent="0.25">
      <c r="A2232">
        <v>2</v>
      </c>
    </row>
    <row r="2233" spans="1:1" x14ac:dyDescent="0.25">
      <c r="A2233">
        <v>1</v>
      </c>
    </row>
    <row r="2234" spans="1:1" x14ac:dyDescent="0.25">
      <c r="A2234">
        <v>1</v>
      </c>
    </row>
    <row r="2235" spans="1:1" x14ac:dyDescent="0.25">
      <c r="A2235">
        <v>4</v>
      </c>
    </row>
    <row r="2236" spans="1:1" x14ac:dyDescent="0.25">
      <c r="A2236">
        <v>2</v>
      </c>
    </row>
    <row r="2237" spans="1:1" x14ac:dyDescent="0.25">
      <c r="A2237">
        <v>1</v>
      </c>
    </row>
    <row r="2238" spans="1:1" x14ac:dyDescent="0.25">
      <c r="A2238">
        <v>1</v>
      </c>
    </row>
    <row r="2239" spans="1:1" x14ac:dyDescent="0.25">
      <c r="A2239">
        <v>4</v>
      </c>
    </row>
    <row r="2240" spans="1:1" x14ac:dyDescent="0.25">
      <c r="A2240">
        <v>1</v>
      </c>
    </row>
    <row r="2241" spans="1:1" x14ac:dyDescent="0.25">
      <c r="A2241">
        <v>5</v>
      </c>
    </row>
    <row r="2242" spans="1:1" x14ac:dyDescent="0.25">
      <c r="A2242">
        <v>7</v>
      </c>
    </row>
    <row r="2243" spans="1:1" x14ac:dyDescent="0.25">
      <c r="A2243">
        <v>1</v>
      </c>
    </row>
    <row r="2244" spans="1:1" x14ac:dyDescent="0.25">
      <c r="A2244">
        <v>1</v>
      </c>
    </row>
    <row r="2245" spans="1:1" x14ac:dyDescent="0.25">
      <c r="A2245">
        <v>2</v>
      </c>
    </row>
    <row r="2246" spans="1:1" x14ac:dyDescent="0.25">
      <c r="A2246">
        <v>1</v>
      </c>
    </row>
    <row r="2247" spans="1:1" x14ac:dyDescent="0.25">
      <c r="A2247">
        <v>8</v>
      </c>
    </row>
    <row r="2248" spans="1:1" x14ac:dyDescent="0.25">
      <c r="A2248">
        <v>5</v>
      </c>
    </row>
    <row r="2249" spans="1:1" x14ac:dyDescent="0.25">
      <c r="A2249">
        <v>7</v>
      </c>
    </row>
    <row r="2250" spans="1:1" x14ac:dyDescent="0.25">
      <c r="A2250">
        <v>7</v>
      </c>
    </row>
    <row r="2251" spans="1:1" x14ac:dyDescent="0.25">
      <c r="A2251">
        <v>1</v>
      </c>
    </row>
    <row r="2252" spans="1:1" x14ac:dyDescent="0.25">
      <c r="A2252">
        <v>7</v>
      </c>
    </row>
    <row r="2253" spans="1:1" x14ac:dyDescent="0.25">
      <c r="A2253">
        <v>2</v>
      </c>
    </row>
    <row r="2254" spans="1:1" x14ac:dyDescent="0.25">
      <c r="A2254">
        <v>1</v>
      </c>
    </row>
    <row r="2255" spans="1:1" x14ac:dyDescent="0.25">
      <c r="A2255">
        <v>1</v>
      </c>
    </row>
    <row r="2256" spans="1:1" x14ac:dyDescent="0.25">
      <c r="A2256">
        <v>1</v>
      </c>
    </row>
    <row r="2257" spans="1:1" x14ac:dyDescent="0.25">
      <c r="A2257">
        <v>4</v>
      </c>
    </row>
    <row r="2258" spans="1:1" x14ac:dyDescent="0.25">
      <c r="A2258">
        <v>1</v>
      </c>
    </row>
    <row r="2259" spans="1:1" x14ac:dyDescent="0.25">
      <c r="A2259">
        <v>5</v>
      </c>
    </row>
    <row r="2260" spans="1:1" x14ac:dyDescent="0.25">
      <c r="A2260">
        <v>1</v>
      </c>
    </row>
    <row r="2261" spans="1:1" x14ac:dyDescent="0.25">
      <c r="A2261">
        <v>5</v>
      </c>
    </row>
    <row r="2262" spans="1:1" x14ac:dyDescent="0.25">
      <c r="A2262">
        <v>1</v>
      </c>
    </row>
    <row r="2263" spans="1:1" x14ac:dyDescent="0.25">
      <c r="A2263">
        <v>1</v>
      </c>
    </row>
    <row r="2264" spans="1:1" x14ac:dyDescent="0.25">
      <c r="A2264">
        <v>6</v>
      </c>
    </row>
    <row r="2265" spans="1:1" x14ac:dyDescent="0.25">
      <c r="A2265">
        <v>1</v>
      </c>
    </row>
    <row r="2266" spans="1:1" x14ac:dyDescent="0.25">
      <c r="A2266">
        <v>2</v>
      </c>
    </row>
    <row r="2267" spans="1:1" x14ac:dyDescent="0.25">
      <c r="A2267">
        <v>1</v>
      </c>
    </row>
    <row r="2268" spans="1:1" x14ac:dyDescent="0.25">
      <c r="A2268">
        <v>1</v>
      </c>
    </row>
    <row r="2269" spans="1:1" x14ac:dyDescent="0.25">
      <c r="A2269">
        <v>5</v>
      </c>
    </row>
    <row r="2270" spans="1:1" x14ac:dyDescent="0.25">
      <c r="A2270">
        <v>5</v>
      </c>
    </row>
    <row r="2271" spans="1:1" x14ac:dyDescent="0.25">
      <c r="A2271">
        <v>5</v>
      </c>
    </row>
    <row r="2272" spans="1:1" x14ac:dyDescent="0.25">
      <c r="A2272">
        <v>1</v>
      </c>
    </row>
    <row r="2273" spans="1:1" x14ac:dyDescent="0.25">
      <c r="A2273">
        <v>1</v>
      </c>
    </row>
    <row r="2274" spans="1:1" x14ac:dyDescent="0.25">
      <c r="A2274">
        <v>7</v>
      </c>
    </row>
    <row r="2275" spans="1:1" x14ac:dyDescent="0.25">
      <c r="A2275">
        <v>1</v>
      </c>
    </row>
    <row r="2276" spans="1:1" x14ac:dyDescent="0.25">
      <c r="A2276">
        <v>5</v>
      </c>
    </row>
    <row r="2277" spans="1:1" x14ac:dyDescent="0.25">
      <c r="A2277">
        <v>1</v>
      </c>
    </row>
    <row r="2278" spans="1:1" x14ac:dyDescent="0.25">
      <c r="A2278">
        <v>7</v>
      </c>
    </row>
    <row r="2279" spans="1:1" x14ac:dyDescent="0.25">
      <c r="A2279">
        <v>7</v>
      </c>
    </row>
    <row r="2280" spans="1:1" x14ac:dyDescent="0.25">
      <c r="A2280">
        <v>1</v>
      </c>
    </row>
    <row r="2281" spans="1:1" x14ac:dyDescent="0.25">
      <c r="A2281">
        <v>3</v>
      </c>
    </row>
    <row r="2282" spans="1:1" x14ac:dyDescent="0.25">
      <c r="A2282">
        <v>1</v>
      </c>
    </row>
    <row r="2283" spans="1:1" x14ac:dyDescent="0.25">
      <c r="A2283">
        <v>5</v>
      </c>
    </row>
    <row r="2284" spans="1:1" x14ac:dyDescent="0.25">
      <c r="A2284">
        <v>2</v>
      </c>
    </row>
    <row r="2285" spans="1:1" x14ac:dyDescent="0.25">
      <c r="A2285">
        <v>1</v>
      </c>
    </row>
    <row r="2286" spans="1:1" x14ac:dyDescent="0.25">
      <c r="A2286">
        <v>8</v>
      </c>
    </row>
    <row r="2287" spans="1:1" x14ac:dyDescent="0.25">
      <c r="A2287">
        <v>1</v>
      </c>
    </row>
    <row r="2288" spans="1:1" x14ac:dyDescent="0.25">
      <c r="A2288">
        <v>1</v>
      </c>
    </row>
    <row r="2289" spans="1:1" x14ac:dyDescent="0.25">
      <c r="A2289">
        <v>1</v>
      </c>
    </row>
    <row r="2290" spans="1:1" x14ac:dyDescent="0.25">
      <c r="A2290">
        <v>7</v>
      </c>
    </row>
    <row r="2291" spans="1:1" x14ac:dyDescent="0.25">
      <c r="A2291">
        <v>3</v>
      </c>
    </row>
    <row r="2292" spans="1:1" x14ac:dyDescent="0.25">
      <c r="A2292">
        <v>1</v>
      </c>
    </row>
    <row r="2293" spans="1:1" x14ac:dyDescent="0.25">
      <c r="A2293">
        <v>1</v>
      </c>
    </row>
    <row r="2294" spans="1:1" x14ac:dyDescent="0.25">
      <c r="A2294">
        <v>1</v>
      </c>
    </row>
    <row r="2295" spans="1:1" x14ac:dyDescent="0.25">
      <c r="A2295">
        <v>1</v>
      </c>
    </row>
    <row r="2296" spans="1:1" x14ac:dyDescent="0.25">
      <c r="A2296">
        <v>1</v>
      </c>
    </row>
    <row r="2297" spans="1:1" x14ac:dyDescent="0.25">
      <c r="A2297">
        <v>7</v>
      </c>
    </row>
    <row r="2298" spans="1:1" x14ac:dyDescent="0.25">
      <c r="A2298">
        <v>5</v>
      </c>
    </row>
    <row r="2299" spans="1:1" x14ac:dyDescent="0.25">
      <c r="A2299">
        <v>5</v>
      </c>
    </row>
    <row r="2300" spans="1:1" x14ac:dyDescent="0.25">
      <c r="A2300">
        <v>7</v>
      </c>
    </row>
    <row r="2301" spans="1:1" x14ac:dyDescent="0.25">
      <c r="A2301">
        <v>1</v>
      </c>
    </row>
    <row r="2302" spans="1:1" x14ac:dyDescent="0.25">
      <c r="A2302">
        <v>2</v>
      </c>
    </row>
    <row r="2303" spans="1:1" x14ac:dyDescent="0.25">
      <c r="A2303">
        <v>5</v>
      </c>
    </row>
    <row r="2304" spans="1:1" x14ac:dyDescent="0.25">
      <c r="A2304">
        <v>7</v>
      </c>
    </row>
    <row r="2305" spans="1:1" x14ac:dyDescent="0.25">
      <c r="A2305">
        <v>7</v>
      </c>
    </row>
    <row r="2306" spans="1:1" x14ac:dyDescent="0.25">
      <c r="A2306">
        <v>1</v>
      </c>
    </row>
    <row r="2307" spans="1:1" x14ac:dyDescent="0.25">
      <c r="A2307">
        <v>1</v>
      </c>
    </row>
    <row r="2308" spans="1:1" x14ac:dyDescent="0.25">
      <c r="A2308">
        <v>1</v>
      </c>
    </row>
    <row r="2309" spans="1:1" x14ac:dyDescent="0.25">
      <c r="A2309">
        <v>1</v>
      </c>
    </row>
    <row r="2310" spans="1:1" x14ac:dyDescent="0.25">
      <c r="A2310">
        <v>7</v>
      </c>
    </row>
    <row r="2311" spans="1:1" x14ac:dyDescent="0.25">
      <c r="A2311">
        <v>1</v>
      </c>
    </row>
    <row r="2312" spans="1:1" x14ac:dyDescent="0.25">
      <c r="A2312">
        <v>1</v>
      </c>
    </row>
    <row r="2313" spans="1:1" x14ac:dyDescent="0.25">
      <c r="A2313">
        <v>2</v>
      </c>
    </row>
    <row r="2314" spans="1:1" x14ac:dyDescent="0.25">
      <c r="A2314">
        <v>1</v>
      </c>
    </row>
    <row r="2315" spans="1:1" x14ac:dyDescent="0.25">
      <c r="A2315">
        <v>1</v>
      </c>
    </row>
    <row r="2316" spans="1:1" x14ac:dyDescent="0.25">
      <c r="A2316">
        <v>1</v>
      </c>
    </row>
    <row r="2317" spans="1:1" x14ac:dyDescent="0.25">
      <c r="A2317">
        <v>5</v>
      </c>
    </row>
    <row r="2318" spans="1:1" x14ac:dyDescent="0.25">
      <c r="A2318">
        <v>2</v>
      </c>
    </row>
    <row r="2319" spans="1:1" x14ac:dyDescent="0.25">
      <c r="A2319">
        <v>7</v>
      </c>
    </row>
    <row r="2320" spans="1:1" x14ac:dyDescent="0.25">
      <c r="A2320">
        <v>2</v>
      </c>
    </row>
    <row r="2321" spans="1:1" x14ac:dyDescent="0.25">
      <c r="A2321">
        <v>4</v>
      </c>
    </row>
    <row r="2322" spans="1:1" x14ac:dyDescent="0.25">
      <c r="A2322">
        <v>7</v>
      </c>
    </row>
    <row r="2323" spans="1:1" x14ac:dyDescent="0.25">
      <c r="A2323">
        <v>1</v>
      </c>
    </row>
    <row r="2324" spans="1:1" x14ac:dyDescent="0.25">
      <c r="A2324">
        <v>6</v>
      </c>
    </row>
    <row r="2325" spans="1:1" x14ac:dyDescent="0.25">
      <c r="A2325">
        <v>1</v>
      </c>
    </row>
    <row r="2326" spans="1:1" x14ac:dyDescent="0.25">
      <c r="A2326">
        <v>5</v>
      </c>
    </row>
    <row r="2327" spans="1:1" x14ac:dyDescent="0.25">
      <c r="A2327">
        <v>4</v>
      </c>
    </row>
    <row r="2328" spans="1:1" x14ac:dyDescent="0.25">
      <c r="A2328">
        <v>5</v>
      </c>
    </row>
    <row r="2329" spans="1:1" x14ac:dyDescent="0.25">
      <c r="A2329">
        <v>7</v>
      </c>
    </row>
    <row r="2330" spans="1:1" x14ac:dyDescent="0.25">
      <c r="A2330">
        <v>1</v>
      </c>
    </row>
    <row r="2331" spans="1:1" x14ac:dyDescent="0.25">
      <c r="A2331">
        <v>1</v>
      </c>
    </row>
    <row r="2332" spans="1:1" x14ac:dyDescent="0.25">
      <c r="A2332">
        <v>4</v>
      </c>
    </row>
    <row r="2333" spans="1:1" x14ac:dyDescent="0.25">
      <c r="A2333">
        <v>6</v>
      </c>
    </row>
    <row r="2334" spans="1:1" x14ac:dyDescent="0.25">
      <c r="A2334">
        <v>1</v>
      </c>
    </row>
    <row r="2335" spans="1:1" x14ac:dyDescent="0.25">
      <c r="A2335">
        <v>1</v>
      </c>
    </row>
    <row r="2336" spans="1:1" x14ac:dyDescent="0.25">
      <c r="A2336">
        <v>1</v>
      </c>
    </row>
    <row r="2337" spans="1:1" x14ac:dyDescent="0.25">
      <c r="A2337">
        <v>1</v>
      </c>
    </row>
    <row r="2338" spans="1:1" x14ac:dyDescent="0.25">
      <c r="A2338">
        <v>1</v>
      </c>
    </row>
    <row r="2339" spans="1:1" x14ac:dyDescent="0.25">
      <c r="A2339">
        <v>1</v>
      </c>
    </row>
    <row r="2340" spans="1:1" x14ac:dyDescent="0.25">
      <c r="A2340">
        <v>7</v>
      </c>
    </row>
    <row r="2341" spans="1:1" x14ac:dyDescent="0.25">
      <c r="A2341">
        <v>1</v>
      </c>
    </row>
    <row r="2342" spans="1:1" x14ac:dyDescent="0.25">
      <c r="A2342">
        <v>1</v>
      </c>
    </row>
    <row r="2343" spans="1:1" x14ac:dyDescent="0.25">
      <c r="A2343">
        <v>5</v>
      </c>
    </row>
    <row r="2344" spans="1:1" x14ac:dyDescent="0.25">
      <c r="A2344">
        <v>2</v>
      </c>
    </row>
    <row r="2345" spans="1:1" x14ac:dyDescent="0.25">
      <c r="A2345">
        <v>5</v>
      </c>
    </row>
    <row r="2346" spans="1:1" x14ac:dyDescent="0.25">
      <c r="A2346">
        <v>6</v>
      </c>
    </row>
    <row r="2347" spans="1:1" x14ac:dyDescent="0.25">
      <c r="A2347">
        <v>1</v>
      </c>
    </row>
    <row r="2348" spans="1:1" x14ac:dyDescent="0.25">
      <c r="A2348">
        <v>7</v>
      </c>
    </row>
    <row r="2349" spans="1:1" x14ac:dyDescent="0.25">
      <c r="A2349">
        <v>1</v>
      </c>
    </row>
    <row r="2350" spans="1:1" x14ac:dyDescent="0.25">
      <c r="A2350">
        <v>1</v>
      </c>
    </row>
    <row r="2351" spans="1:1" x14ac:dyDescent="0.25">
      <c r="A2351">
        <v>1</v>
      </c>
    </row>
    <row r="2352" spans="1:1" x14ac:dyDescent="0.25">
      <c r="A2352">
        <v>5</v>
      </c>
    </row>
    <row r="2353" spans="1:1" x14ac:dyDescent="0.25">
      <c r="A2353">
        <v>1</v>
      </c>
    </row>
    <row r="2354" spans="1:1" x14ac:dyDescent="0.25">
      <c r="A2354">
        <v>2</v>
      </c>
    </row>
    <row r="2355" spans="1:1" x14ac:dyDescent="0.25">
      <c r="A2355">
        <v>1</v>
      </c>
    </row>
    <row r="2356" spans="1:1" x14ac:dyDescent="0.25">
      <c r="A2356">
        <v>4</v>
      </c>
    </row>
    <row r="2357" spans="1:1" x14ac:dyDescent="0.25">
      <c r="A2357">
        <v>1</v>
      </c>
    </row>
    <row r="2358" spans="1:1" x14ac:dyDescent="0.25">
      <c r="A2358">
        <v>5</v>
      </c>
    </row>
    <row r="2359" spans="1:1" x14ac:dyDescent="0.25">
      <c r="A2359">
        <v>5</v>
      </c>
    </row>
    <row r="2360" spans="1:1" x14ac:dyDescent="0.25">
      <c r="A2360">
        <v>1</v>
      </c>
    </row>
    <row r="2361" spans="1:1" x14ac:dyDescent="0.25">
      <c r="A2361">
        <v>5</v>
      </c>
    </row>
    <row r="2362" spans="1:1" x14ac:dyDescent="0.25">
      <c r="A2362">
        <v>1</v>
      </c>
    </row>
    <row r="2363" spans="1:1" x14ac:dyDescent="0.25">
      <c r="A2363">
        <v>1</v>
      </c>
    </row>
    <row r="2364" spans="1:1" x14ac:dyDescent="0.25">
      <c r="A2364">
        <v>1</v>
      </c>
    </row>
    <row r="2365" spans="1:1" x14ac:dyDescent="0.25">
      <c r="A2365">
        <v>2</v>
      </c>
    </row>
    <row r="2366" spans="1:1" x14ac:dyDescent="0.25">
      <c r="A2366">
        <v>3</v>
      </c>
    </row>
    <row r="2367" spans="1:1" x14ac:dyDescent="0.25">
      <c r="A2367">
        <v>1</v>
      </c>
    </row>
    <row r="2368" spans="1:1" x14ac:dyDescent="0.25">
      <c r="A2368">
        <v>1</v>
      </c>
    </row>
    <row r="2369" spans="1:1" x14ac:dyDescent="0.25">
      <c r="A2369">
        <v>1</v>
      </c>
    </row>
    <row r="2370" spans="1:1" x14ac:dyDescent="0.25">
      <c r="A2370">
        <v>6</v>
      </c>
    </row>
    <row r="2371" spans="1:1" x14ac:dyDescent="0.25">
      <c r="A2371">
        <v>7</v>
      </c>
    </row>
    <row r="2372" spans="1:1" x14ac:dyDescent="0.25">
      <c r="A2372">
        <v>1</v>
      </c>
    </row>
    <row r="2373" spans="1:1" x14ac:dyDescent="0.25">
      <c r="A2373">
        <v>1</v>
      </c>
    </row>
    <row r="2374" spans="1:1" x14ac:dyDescent="0.25">
      <c r="A2374">
        <v>7</v>
      </c>
    </row>
    <row r="2375" spans="1:1" x14ac:dyDescent="0.25">
      <c r="A2375">
        <v>5</v>
      </c>
    </row>
    <row r="2376" spans="1:1" x14ac:dyDescent="0.25">
      <c r="A2376">
        <v>2</v>
      </c>
    </row>
    <row r="2377" spans="1:1" x14ac:dyDescent="0.25">
      <c r="A2377">
        <v>1</v>
      </c>
    </row>
    <row r="2378" spans="1:1" x14ac:dyDescent="0.25">
      <c r="A2378">
        <v>6</v>
      </c>
    </row>
    <row r="2379" spans="1:1" x14ac:dyDescent="0.25">
      <c r="A2379">
        <v>1</v>
      </c>
    </row>
    <row r="2380" spans="1:1" x14ac:dyDescent="0.25">
      <c r="A2380">
        <v>1</v>
      </c>
    </row>
    <row r="2381" spans="1:1" x14ac:dyDescent="0.25">
      <c r="A2381">
        <v>4</v>
      </c>
    </row>
    <row r="2382" spans="1:1" x14ac:dyDescent="0.25">
      <c r="A2382">
        <v>1</v>
      </c>
    </row>
    <row r="2383" spans="1:1" x14ac:dyDescent="0.25">
      <c r="A2383">
        <v>6</v>
      </c>
    </row>
    <row r="2384" spans="1:1" x14ac:dyDescent="0.25">
      <c r="A2384">
        <v>1</v>
      </c>
    </row>
    <row r="2385" spans="1:1" x14ac:dyDescent="0.25">
      <c r="A2385">
        <v>1</v>
      </c>
    </row>
    <row r="2386" spans="1:1" x14ac:dyDescent="0.25">
      <c r="A2386">
        <v>1</v>
      </c>
    </row>
    <row r="2387" spans="1:1" x14ac:dyDescent="0.25">
      <c r="A2387">
        <v>4</v>
      </c>
    </row>
    <row r="2388" spans="1:1" x14ac:dyDescent="0.25">
      <c r="A2388">
        <v>2</v>
      </c>
    </row>
    <row r="2389" spans="1:1" x14ac:dyDescent="0.25">
      <c r="A2389">
        <v>1</v>
      </c>
    </row>
    <row r="2390" spans="1:1" x14ac:dyDescent="0.25">
      <c r="A2390">
        <v>5</v>
      </c>
    </row>
    <row r="2391" spans="1:1" x14ac:dyDescent="0.25">
      <c r="A2391">
        <v>4</v>
      </c>
    </row>
    <row r="2392" spans="1:1" x14ac:dyDescent="0.25">
      <c r="A2392">
        <v>1</v>
      </c>
    </row>
    <row r="2393" spans="1:1" x14ac:dyDescent="0.25">
      <c r="A2393">
        <v>1</v>
      </c>
    </row>
    <row r="2394" spans="1:1" x14ac:dyDescent="0.25">
      <c r="A2394">
        <v>2</v>
      </c>
    </row>
    <row r="2395" spans="1:1" x14ac:dyDescent="0.25">
      <c r="A2395">
        <v>4</v>
      </c>
    </row>
    <row r="2396" spans="1:1" x14ac:dyDescent="0.25">
      <c r="A2396">
        <v>1</v>
      </c>
    </row>
    <row r="2397" spans="1:1" x14ac:dyDescent="0.25">
      <c r="A2397">
        <v>1</v>
      </c>
    </row>
    <row r="2398" spans="1:1" x14ac:dyDescent="0.25">
      <c r="A2398">
        <v>1</v>
      </c>
    </row>
    <row r="2399" spans="1:1" x14ac:dyDescent="0.25">
      <c r="A2399">
        <v>1</v>
      </c>
    </row>
    <row r="2400" spans="1:1" x14ac:dyDescent="0.25">
      <c r="A2400">
        <v>1</v>
      </c>
    </row>
    <row r="2401" spans="1:1" x14ac:dyDescent="0.25">
      <c r="A2401">
        <v>2</v>
      </c>
    </row>
    <row r="2402" spans="1:1" x14ac:dyDescent="0.25">
      <c r="A2402">
        <v>1</v>
      </c>
    </row>
    <row r="2403" spans="1:1" x14ac:dyDescent="0.25">
      <c r="A2403">
        <v>5</v>
      </c>
    </row>
    <row r="2404" spans="1:1" x14ac:dyDescent="0.25">
      <c r="A2404">
        <v>1</v>
      </c>
    </row>
    <row r="2405" spans="1:1" x14ac:dyDescent="0.25">
      <c r="A2405">
        <v>7</v>
      </c>
    </row>
    <row r="2406" spans="1:1" x14ac:dyDescent="0.25">
      <c r="A2406">
        <v>1</v>
      </c>
    </row>
    <row r="2407" spans="1:1" x14ac:dyDescent="0.25">
      <c r="A2407">
        <v>7</v>
      </c>
    </row>
    <row r="2408" spans="1:1" x14ac:dyDescent="0.25">
      <c r="A2408">
        <v>5</v>
      </c>
    </row>
    <row r="2409" spans="1:1" x14ac:dyDescent="0.25">
      <c r="A2409">
        <v>1</v>
      </c>
    </row>
    <row r="2410" spans="1:1" x14ac:dyDescent="0.25">
      <c r="A2410">
        <v>2</v>
      </c>
    </row>
    <row r="2411" spans="1:1" x14ac:dyDescent="0.25">
      <c r="A2411">
        <v>1</v>
      </c>
    </row>
    <row r="2412" spans="1:1" x14ac:dyDescent="0.25">
      <c r="A2412">
        <v>2</v>
      </c>
    </row>
    <row r="2413" spans="1:1" x14ac:dyDescent="0.25">
      <c r="A2413">
        <v>7</v>
      </c>
    </row>
    <row r="2414" spans="1:1" x14ac:dyDescent="0.25">
      <c r="A2414">
        <v>2</v>
      </c>
    </row>
    <row r="2415" spans="1:1" x14ac:dyDescent="0.25">
      <c r="A2415">
        <v>1</v>
      </c>
    </row>
    <row r="2416" spans="1:1" x14ac:dyDescent="0.25">
      <c r="A2416">
        <v>1</v>
      </c>
    </row>
    <row r="2417" spans="1:1" x14ac:dyDescent="0.25">
      <c r="A2417">
        <v>1</v>
      </c>
    </row>
    <row r="2418" spans="1:1" x14ac:dyDescent="0.25">
      <c r="A2418">
        <v>1</v>
      </c>
    </row>
    <row r="2419" spans="1:1" x14ac:dyDescent="0.25">
      <c r="A2419">
        <v>1</v>
      </c>
    </row>
    <row r="2420" spans="1:1" x14ac:dyDescent="0.25">
      <c r="A2420">
        <v>1</v>
      </c>
    </row>
    <row r="2421" spans="1:1" x14ac:dyDescent="0.25">
      <c r="A2421">
        <v>3</v>
      </c>
    </row>
    <row r="2422" spans="1:1" x14ac:dyDescent="0.25">
      <c r="A2422">
        <v>1</v>
      </c>
    </row>
    <row r="2423" spans="1:1" x14ac:dyDescent="0.25">
      <c r="A2423">
        <v>5</v>
      </c>
    </row>
    <row r="2424" spans="1:1" x14ac:dyDescent="0.25">
      <c r="A2424">
        <v>4</v>
      </c>
    </row>
    <row r="2425" spans="1:1" x14ac:dyDescent="0.25">
      <c r="A2425">
        <v>1</v>
      </c>
    </row>
    <row r="2426" spans="1:1" x14ac:dyDescent="0.25">
      <c r="A2426">
        <v>5</v>
      </c>
    </row>
    <row r="2427" spans="1:1" x14ac:dyDescent="0.25">
      <c r="A2427">
        <v>2</v>
      </c>
    </row>
    <row r="2428" spans="1:1" x14ac:dyDescent="0.25">
      <c r="A2428">
        <v>5</v>
      </c>
    </row>
    <row r="2429" spans="1:1" x14ac:dyDescent="0.25">
      <c r="A2429">
        <v>1</v>
      </c>
    </row>
    <row r="2430" spans="1:1" x14ac:dyDescent="0.25">
      <c r="A2430">
        <v>5</v>
      </c>
    </row>
    <row r="2431" spans="1:1" x14ac:dyDescent="0.25">
      <c r="A2431">
        <v>1</v>
      </c>
    </row>
    <row r="2432" spans="1:1" x14ac:dyDescent="0.25">
      <c r="A2432">
        <v>5</v>
      </c>
    </row>
    <row r="2433" spans="1:1" x14ac:dyDescent="0.25">
      <c r="A2433">
        <v>2</v>
      </c>
    </row>
    <row r="2434" spans="1:1" x14ac:dyDescent="0.25">
      <c r="A2434">
        <v>7</v>
      </c>
    </row>
    <row r="2435" spans="1:1" x14ac:dyDescent="0.25">
      <c r="A2435">
        <v>8</v>
      </c>
    </row>
    <row r="2436" spans="1:1" x14ac:dyDescent="0.25">
      <c r="A2436">
        <v>1</v>
      </c>
    </row>
    <row r="2437" spans="1:1" x14ac:dyDescent="0.25">
      <c r="A2437">
        <v>1</v>
      </c>
    </row>
    <row r="2438" spans="1:1" x14ac:dyDescent="0.25">
      <c r="A2438">
        <v>1</v>
      </c>
    </row>
    <row r="2439" spans="1:1" x14ac:dyDescent="0.25">
      <c r="A2439">
        <v>5</v>
      </c>
    </row>
    <row r="2440" spans="1:1" x14ac:dyDescent="0.25">
      <c r="A2440">
        <v>7</v>
      </c>
    </row>
    <row r="2441" spans="1:1" x14ac:dyDescent="0.25">
      <c r="A2441">
        <v>7</v>
      </c>
    </row>
    <row r="2442" spans="1:1" x14ac:dyDescent="0.25">
      <c r="A2442">
        <v>7</v>
      </c>
    </row>
    <row r="2443" spans="1:1" x14ac:dyDescent="0.25">
      <c r="A2443">
        <v>5</v>
      </c>
    </row>
    <row r="2444" spans="1:1" x14ac:dyDescent="0.25">
      <c r="A2444">
        <v>5</v>
      </c>
    </row>
    <row r="2445" spans="1:1" x14ac:dyDescent="0.25">
      <c r="A2445">
        <v>7</v>
      </c>
    </row>
    <row r="2446" spans="1:1" x14ac:dyDescent="0.25">
      <c r="A2446">
        <v>2</v>
      </c>
    </row>
    <row r="2447" spans="1:1" x14ac:dyDescent="0.25">
      <c r="A2447">
        <v>1</v>
      </c>
    </row>
    <row r="2448" spans="1:1" x14ac:dyDescent="0.25">
      <c r="A2448">
        <v>5</v>
      </c>
    </row>
    <row r="2449" spans="1:1" x14ac:dyDescent="0.25">
      <c r="A2449">
        <v>1</v>
      </c>
    </row>
    <row r="2450" spans="1:1" x14ac:dyDescent="0.25">
      <c r="A2450">
        <v>1</v>
      </c>
    </row>
    <row r="2451" spans="1:1" x14ac:dyDescent="0.25">
      <c r="A2451">
        <v>5</v>
      </c>
    </row>
    <row r="2452" spans="1:1" x14ac:dyDescent="0.25">
      <c r="A2452">
        <v>5</v>
      </c>
    </row>
    <row r="2453" spans="1:1" x14ac:dyDescent="0.25">
      <c r="A2453">
        <v>1</v>
      </c>
    </row>
    <row r="2454" spans="1:1" x14ac:dyDescent="0.25">
      <c r="A2454">
        <v>1</v>
      </c>
    </row>
    <row r="2455" spans="1:1" x14ac:dyDescent="0.25">
      <c r="A2455">
        <v>2</v>
      </c>
    </row>
    <row r="2456" spans="1:1" x14ac:dyDescent="0.25">
      <c r="A2456">
        <v>1</v>
      </c>
    </row>
    <row r="2457" spans="1:1" x14ac:dyDescent="0.25">
      <c r="A2457">
        <v>1</v>
      </c>
    </row>
    <row r="2458" spans="1:1" x14ac:dyDescent="0.25">
      <c r="A2458">
        <v>1</v>
      </c>
    </row>
    <row r="2459" spans="1:1" x14ac:dyDescent="0.25">
      <c r="A2459">
        <v>5</v>
      </c>
    </row>
    <row r="2460" spans="1:1" x14ac:dyDescent="0.25">
      <c r="A2460">
        <v>7</v>
      </c>
    </row>
    <row r="2461" spans="1:1" x14ac:dyDescent="0.25">
      <c r="A2461">
        <v>5</v>
      </c>
    </row>
    <row r="2462" spans="1:1" x14ac:dyDescent="0.25">
      <c r="A2462">
        <v>2</v>
      </c>
    </row>
    <row r="2463" spans="1:1" x14ac:dyDescent="0.25">
      <c r="A2463">
        <v>1</v>
      </c>
    </row>
    <row r="2464" spans="1:1" x14ac:dyDescent="0.25">
      <c r="A2464">
        <v>1</v>
      </c>
    </row>
    <row r="2465" spans="1:1" x14ac:dyDescent="0.25">
      <c r="A2465">
        <v>1</v>
      </c>
    </row>
    <row r="2466" spans="1:1" x14ac:dyDescent="0.25">
      <c r="A2466">
        <v>1</v>
      </c>
    </row>
    <row r="2467" spans="1:1" x14ac:dyDescent="0.25">
      <c r="A2467">
        <v>5</v>
      </c>
    </row>
    <row r="2468" spans="1:1" x14ac:dyDescent="0.25">
      <c r="A2468">
        <v>7</v>
      </c>
    </row>
    <row r="2469" spans="1:1" x14ac:dyDescent="0.25">
      <c r="A2469">
        <v>1</v>
      </c>
    </row>
    <row r="2470" spans="1:1" x14ac:dyDescent="0.25">
      <c r="A2470">
        <v>1</v>
      </c>
    </row>
    <row r="2471" spans="1:1" x14ac:dyDescent="0.25">
      <c r="A2471">
        <v>5</v>
      </c>
    </row>
    <row r="2472" spans="1:1" x14ac:dyDescent="0.25">
      <c r="A2472">
        <v>5</v>
      </c>
    </row>
    <row r="2473" spans="1:1" x14ac:dyDescent="0.25">
      <c r="A2473">
        <v>1</v>
      </c>
    </row>
    <row r="2474" spans="1:1" x14ac:dyDescent="0.25">
      <c r="A2474">
        <v>1</v>
      </c>
    </row>
    <row r="2475" spans="1:1" x14ac:dyDescent="0.25">
      <c r="A2475">
        <v>5</v>
      </c>
    </row>
    <row r="2476" spans="1:1" x14ac:dyDescent="0.25">
      <c r="A2476">
        <v>5</v>
      </c>
    </row>
    <row r="2477" spans="1:1" x14ac:dyDescent="0.25">
      <c r="A2477">
        <v>1</v>
      </c>
    </row>
    <row r="2478" spans="1:1" x14ac:dyDescent="0.25">
      <c r="A2478">
        <v>7</v>
      </c>
    </row>
    <row r="2479" spans="1:1" x14ac:dyDescent="0.25">
      <c r="A2479">
        <v>1</v>
      </c>
    </row>
    <row r="2480" spans="1:1" x14ac:dyDescent="0.25">
      <c r="A2480">
        <v>7</v>
      </c>
    </row>
    <row r="2481" spans="1:1" x14ac:dyDescent="0.25">
      <c r="A2481">
        <v>1</v>
      </c>
    </row>
    <row r="2482" spans="1:1" x14ac:dyDescent="0.25">
      <c r="A2482">
        <v>2</v>
      </c>
    </row>
    <row r="2483" spans="1:1" x14ac:dyDescent="0.25">
      <c r="A2483">
        <v>1</v>
      </c>
    </row>
    <row r="2484" spans="1:1" x14ac:dyDescent="0.25">
      <c r="A2484">
        <v>5</v>
      </c>
    </row>
    <row r="2485" spans="1:1" x14ac:dyDescent="0.25">
      <c r="A2485">
        <v>7</v>
      </c>
    </row>
    <row r="2486" spans="1:1" x14ac:dyDescent="0.25">
      <c r="A2486">
        <v>1</v>
      </c>
    </row>
    <row r="2487" spans="1:1" x14ac:dyDescent="0.25">
      <c r="A2487">
        <v>1</v>
      </c>
    </row>
    <row r="2488" spans="1:1" x14ac:dyDescent="0.25">
      <c r="A2488">
        <v>5</v>
      </c>
    </row>
    <row r="2489" spans="1:1" x14ac:dyDescent="0.25">
      <c r="A2489">
        <v>1</v>
      </c>
    </row>
    <row r="2490" spans="1:1" x14ac:dyDescent="0.25">
      <c r="A2490">
        <v>5</v>
      </c>
    </row>
    <row r="2491" spans="1:1" x14ac:dyDescent="0.25">
      <c r="A2491">
        <v>2</v>
      </c>
    </row>
    <row r="2492" spans="1:1" x14ac:dyDescent="0.25">
      <c r="A2492">
        <v>3</v>
      </c>
    </row>
    <row r="2493" spans="1:1" x14ac:dyDescent="0.25">
      <c r="A2493">
        <v>1</v>
      </c>
    </row>
    <row r="2494" spans="1:1" x14ac:dyDescent="0.25">
      <c r="A2494">
        <v>7</v>
      </c>
    </row>
    <row r="2495" spans="1:1" x14ac:dyDescent="0.25">
      <c r="A2495">
        <v>7</v>
      </c>
    </row>
    <row r="2496" spans="1:1" x14ac:dyDescent="0.25">
      <c r="A2496">
        <v>7</v>
      </c>
    </row>
    <row r="2497" spans="1:1" x14ac:dyDescent="0.25">
      <c r="A2497">
        <v>5</v>
      </c>
    </row>
    <row r="2498" spans="1:1" x14ac:dyDescent="0.25">
      <c r="A2498">
        <v>1</v>
      </c>
    </row>
    <row r="2499" spans="1:1" x14ac:dyDescent="0.25">
      <c r="A2499">
        <v>1</v>
      </c>
    </row>
    <row r="2500" spans="1:1" x14ac:dyDescent="0.25">
      <c r="A2500">
        <v>7</v>
      </c>
    </row>
    <row r="2501" spans="1:1" x14ac:dyDescent="0.25">
      <c r="A2501">
        <v>7</v>
      </c>
    </row>
    <row r="2502" spans="1:1" x14ac:dyDescent="0.25">
      <c r="A2502">
        <v>8</v>
      </c>
    </row>
    <row r="2503" spans="1:1" x14ac:dyDescent="0.25">
      <c r="A2503">
        <v>5</v>
      </c>
    </row>
    <row r="2504" spans="1:1" x14ac:dyDescent="0.25">
      <c r="A2504">
        <v>7</v>
      </c>
    </row>
    <row r="2505" spans="1:1" x14ac:dyDescent="0.25">
      <c r="A2505">
        <v>7</v>
      </c>
    </row>
    <row r="2506" spans="1:1" x14ac:dyDescent="0.25">
      <c r="A2506">
        <v>1</v>
      </c>
    </row>
    <row r="2507" spans="1:1" x14ac:dyDescent="0.25">
      <c r="A2507">
        <v>1</v>
      </c>
    </row>
    <row r="2508" spans="1:1" x14ac:dyDescent="0.25">
      <c r="A2508">
        <v>1</v>
      </c>
    </row>
    <row r="2509" spans="1:1" x14ac:dyDescent="0.25">
      <c r="A2509">
        <v>1</v>
      </c>
    </row>
    <row r="2510" spans="1:1" x14ac:dyDescent="0.25">
      <c r="A2510">
        <v>7</v>
      </c>
    </row>
    <row r="2511" spans="1:1" x14ac:dyDescent="0.25">
      <c r="A2511">
        <v>1</v>
      </c>
    </row>
    <row r="2512" spans="1:1" x14ac:dyDescent="0.25">
      <c r="A2512">
        <v>7</v>
      </c>
    </row>
    <row r="2513" spans="1:1" x14ac:dyDescent="0.25">
      <c r="A2513">
        <v>1</v>
      </c>
    </row>
    <row r="2514" spans="1:1" x14ac:dyDescent="0.25">
      <c r="A2514">
        <v>5</v>
      </c>
    </row>
    <row r="2515" spans="1:1" x14ac:dyDescent="0.25">
      <c r="A2515">
        <v>1</v>
      </c>
    </row>
    <row r="2516" spans="1:1" x14ac:dyDescent="0.25">
      <c r="A2516">
        <v>1</v>
      </c>
    </row>
    <row r="2517" spans="1:1" x14ac:dyDescent="0.25">
      <c r="A2517">
        <v>1</v>
      </c>
    </row>
    <row r="2518" spans="1:1" x14ac:dyDescent="0.25">
      <c r="A2518">
        <v>2</v>
      </c>
    </row>
    <row r="2519" spans="1:1" x14ac:dyDescent="0.25">
      <c r="A2519">
        <v>4</v>
      </c>
    </row>
    <row r="2520" spans="1:1" x14ac:dyDescent="0.25">
      <c r="A2520">
        <v>2</v>
      </c>
    </row>
    <row r="2521" spans="1:1" x14ac:dyDescent="0.25">
      <c r="A2521">
        <v>1</v>
      </c>
    </row>
    <row r="2522" spans="1:1" x14ac:dyDescent="0.25">
      <c r="A2522">
        <v>1</v>
      </c>
    </row>
    <row r="2523" spans="1:1" x14ac:dyDescent="0.25">
      <c r="A2523">
        <v>1</v>
      </c>
    </row>
    <row r="2524" spans="1:1" x14ac:dyDescent="0.25">
      <c r="A2524">
        <v>1</v>
      </c>
    </row>
    <row r="2525" spans="1:1" x14ac:dyDescent="0.25">
      <c r="A2525">
        <v>1</v>
      </c>
    </row>
    <row r="2526" spans="1:1" x14ac:dyDescent="0.25">
      <c r="A2526">
        <v>5</v>
      </c>
    </row>
    <row r="2527" spans="1:1" x14ac:dyDescent="0.25">
      <c r="A2527">
        <v>5</v>
      </c>
    </row>
    <row r="2528" spans="1:1" x14ac:dyDescent="0.25">
      <c r="A2528">
        <v>1</v>
      </c>
    </row>
    <row r="2529" spans="1:1" x14ac:dyDescent="0.25">
      <c r="A2529">
        <v>1</v>
      </c>
    </row>
    <row r="2530" spans="1:1" x14ac:dyDescent="0.25">
      <c r="A2530">
        <v>1</v>
      </c>
    </row>
    <row r="2531" spans="1:1" x14ac:dyDescent="0.25">
      <c r="A2531">
        <v>6</v>
      </c>
    </row>
    <row r="2532" spans="1:1" x14ac:dyDescent="0.25">
      <c r="A2532">
        <v>5</v>
      </c>
    </row>
    <row r="2533" spans="1:1" x14ac:dyDescent="0.25">
      <c r="A2533">
        <v>7</v>
      </c>
    </row>
    <row r="2534" spans="1:1" x14ac:dyDescent="0.25">
      <c r="A2534">
        <v>1</v>
      </c>
    </row>
    <row r="2535" spans="1:1" x14ac:dyDescent="0.25">
      <c r="A2535">
        <v>1</v>
      </c>
    </row>
    <row r="2536" spans="1:1" x14ac:dyDescent="0.25">
      <c r="A2536">
        <v>1</v>
      </c>
    </row>
    <row r="2537" spans="1:1" x14ac:dyDescent="0.25">
      <c r="A2537">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8696-4FE7-416E-882F-CB09D3DC787A}">
  <dimension ref="A1:F286"/>
  <sheetViews>
    <sheetView topLeftCell="A10" zoomScale="140" zoomScaleNormal="140" workbookViewId="0">
      <selection activeCell="J19" sqref="J19"/>
    </sheetView>
  </sheetViews>
  <sheetFormatPr defaultRowHeight="15" x14ac:dyDescent="0.25"/>
  <cols>
    <col min="4" max="4" width="11.140625" bestFit="1" customWidth="1"/>
    <col min="5" max="5" width="10.7109375" customWidth="1"/>
    <col min="6" max="6" width="16.5703125" bestFit="1" customWidth="1"/>
  </cols>
  <sheetData>
    <row r="1" spans="1:6" x14ac:dyDescent="0.25">
      <c r="A1" t="s">
        <v>9</v>
      </c>
    </row>
    <row r="2" spans="1:6" x14ac:dyDescent="0.25">
      <c r="A2">
        <v>1</v>
      </c>
    </row>
    <row r="3" spans="1:6" x14ac:dyDescent="0.25">
      <c r="A3">
        <v>1</v>
      </c>
      <c r="E3" t="s">
        <v>52</v>
      </c>
      <c r="F3" t="s">
        <v>53</v>
      </c>
    </row>
    <row r="4" spans="1:6" x14ac:dyDescent="0.25">
      <c r="A4">
        <v>5</v>
      </c>
      <c r="C4">
        <v>1</v>
      </c>
      <c r="D4" t="s">
        <v>10</v>
      </c>
      <c r="E4">
        <f>COUNTIF($A$2:$A$286,C4)</f>
        <v>90</v>
      </c>
      <c r="F4" s="4">
        <f>E4/$E$11*100</f>
        <v>31.578947368421051</v>
      </c>
    </row>
    <row r="5" spans="1:6" x14ac:dyDescent="0.25">
      <c r="A5">
        <v>1</v>
      </c>
      <c r="C5">
        <v>2</v>
      </c>
      <c r="D5" t="s">
        <v>11</v>
      </c>
      <c r="E5">
        <f t="shared" ref="E5:E10" si="0">COUNTIF($A$2:$A$286,C5)</f>
        <v>19</v>
      </c>
      <c r="F5" s="4">
        <f t="shared" ref="F5:F10" si="1">E5/$E$11*100</f>
        <v>6.666666666666667</v>
      </c>
    </row>
    <row r="6" spans="1:6" x14ac:dyDescent="0.25">
      <c r="A6">
        <v>3</v>
      </c>
      <c r="C6">
        <v>3</v>
      </c>
      <c r="D6" t="s">
        <v>12</v>
      </c>
      <c r="E6">
        <f t="shared" si="0"/>
        <v>62</v>
      </c>
      <c r="F6" s="4">
        <f t="shared" si="1"/>
        <v>21.754385964912281</v>
      </c>
    </row>
    <row r="7" spans="1:6" x14ac:dyDescent="0.25">
      <c r="A7">
        <v>3</v>
      </c>
      <c r="C7">
        <v>4</v>
      </c>
      <c r="D7" t="s">
        <v>13</v>
      </c>
      <c r="E7">
        <f t="shared" si="0"/>
        <v>13</v>
      </c>
      <c r="F7" s="4">
        <f t="shared" si="1"/>
        <v>4.5614035087719298</v>
      </c>
    </row>
    <row r="8" spans="1:6" x14ac:dyDescent="0.25">
      <c r="A8">
        <v>3</v>
      </c>
      <c r="C8">
        <v>5</v>
      </c>
      <c r="D8" t="s">
        <v>14</v>
      </c>
      <c r="E8">
        <f t="shared" si="0"/>
        <v>59</v>
      </c>
      <c r="F8" s="4">
        <f t="shared" si="1"/>
        <v>20.701754385964914</v>
      </c>
    </row>
    <row r="9" spans="1:6" x14ac:dyDescent="0.25">
      <c r="A9">
        <v>7</v>
      </c>
      <c r="C9">
        <v>6</v>
      </c>
      <c r="D9" t="s">
        <v>15</v>
      </c>
      <c r="E9">
        <f t="shared" si="0"/>
        <v>25</v>
      </c>
      <c r="F9" s="4">
        <f t="shared" si="1"/>
        <v>8.7719298245614024</v>
      </c>
    </row>
    <row r="10" spans="1:6" x14ac:dyDescent="0.25">
      <c r="A10">
        <v>2</v>
      </c>
      <c r="C10">
        <v>7</v>
      </c>
      <c r="D10" t="s">
        <v>16</v>
      </c>
      <c r="E10">
        <f t="shared" si="0"/>
        <v>17</v>
      </c>
      <c r="F10" s="4">
        <f t="shared" si="1"/>
        <v>5.9649122807017543</v>
      </c>
    </row>
    <row r="11" spans="1:6" x14ac:dyDescent="0.25">
      <c r="A11">
        <v>6</v>
      </c>
      <c r="E11">
        <f>SUM(E4:E10)</f>
        <v>285</v>
      </c>
      <c r="F11" s="4">
        <f>SUM(F4:F10)</f>
        <v>100</v>
      </c>
    </row>
    <row r="12" spans="1:6" x14ac:dyDescent="0.25">
      <c r="A12">
        <v>1</v>
      </c>
    </row>
    <row r="13" spans="1:6" x14ac:dyDescent="0.25">
      <c r="A13">
        <v>6</v>
      </c>
    </row>
    <row r="14" spans="1:6" x14ac:dyDescent="0.25">
      <c r="A14">
        <v>3</v>
      </c>
    </row>
    <row r="15" spans="1:6" x14ac:dyDescent="0.25">
      <c r="A15">
        <v>4</v>
      </c>
    </row>
    <row r="16" spans="1:6" x14ac:dyDescent="0.25">
      <c r="A16">
        <v>5</v>
      </c>
    </row>
    <row r="17" spans="1:1" x14ac:dyDescent="0.25">
      <c r="A17">
        <v>2</v>
      </c>
    </row>
    <row r="18" spans="1:1" x14ac:dyDescent="0.25">
      <c r="A18">
        <v>5</v>
      </c>
    </row>
    <row r="19" spans="1:1" x14ac:dyDescent="0.25">
      <c r="A19">
        <v>5</v>
      </c>
    </row>
    <row r="20" spans="1:1" x14ac:dyDescent="0.25">
      <c r="A20">
        <v>2</v>
      </c>
    </row>
    <row r="21" spans="1:1" x14ac:dyDescent="0.25">
      <c r="A21">
        <v>1</v>
      </c>
    </row>
    <row r="22" spans="1:1" x14ac:dyDescent="0.25">
      <c r="A22">
        <v>1</v>
      </c>
    </row>
    <row r="23" spans="1:1" x14ac:dyDescent="0.25">
      <c r="A23">
        <v>5</v>
      </c>
    </row>
    <row r="24" spans="1:1" x14ac:dyDescent="0.25">
      <c r="A24">
        <v>1</v>
      </c>
    </row>
    <row r="25" spans="1:1" x14ac:dyDescent="0.25">
      <c r="A25">
        <v>2</v>
      </c>
    </row>
    <row r="26" spans="1:1" x14ac:dyDescent="0.25">
      <c r="A26">
        <v>3</v>
      </c>
    </row>
    <row r="27" spans="1:1" x14ac:dyDescent="0.25">
      <c r="A27">
        <v>3</v>
      </c>
    </row>
    <row r="28" spans="1:1" x14ac:dyDescent="0.25">
      <c r="A28">
        <v>6</v>
      </c>
    </row>
    <row r="29" spans="1:1" x14ac:dyDescent="0.25">
      <c r="A29">
        <v>1</v>
      </c>
    </row>
    <row r="30" spans="1:1" x14ac:dyDescent="0.25">
      <c r="A30">
        <v>5</v>
      </c>
    </row>
    <row r="31" spans="1:1" x14ac:dyDescent="0.25">
      <c r="A31">
        <v>5</v>
      </c>
    </row>
    <row r="32" spans="1:1" x14ac:dyDescent="0.25">
      <c r="A32">
        <v>4</v>
      </c>
    </row>
    <row r="33" spans="1:1" x14ac:dyDescent="0.25">
      <c r="A33">
        <v>1</v>
      </c>
    </row>
    <row r="34" spans="1:1" x14ac:dyDescent="0.25">
      <c r="A34">
        <v>3</v>
      </c>
    </row>
    <row r="35" spans="1:1" x14ac:dyDescent="0.25">
      <c r="A35">
        <v>1</v>
      </c>
    </row>
    <row r="36" spans="1:1" x14ac:dyDescent="0.25">
      <c r="A36">
        <v>6</v>
      </c>
    </row>
    <row r="37" spans="1:1" x14ac:dyDescent="0.25">
      <c r="A37">
        <v>3</v>
      </c>
    </row>
    <row r="38" spans="1:1" x14ac:dyDescent="0.25">
      <c r="A38">
        <v>1</v>
      </c>
    </row>
    <row r="39" spans="1:1" x14ac:dyDescent="0.25">
      <c r="A39">
        <v>1</v>
      </c>
    </row>
    <row r="40" spans="1:1" x14ac:dyDescent="0.25">
      <c r="A40">
        <v>2</v>
      </c>
    </row>
    <row r="41" spans="1:1" x14ac:dyDescent="0.25">
      <c r="A41">
        <v>1</v>
      </c>
    </row>
    <row r="42" spans="1:1" x14ac:dyDescent="0.25">
      <c r="A42">
        <v>1</v>
      </c>
    </row>
    <row r="43" spans="1:1" x14ac:dyDescent="0.25">
      <c r="A43">
        <v>2</v>
      </c>
    </row>
    <row r="44" spans="1:1" x14ac:dyDescent="0.25">
      <c r="A44">
        <v>1</v>
      </c>
    </row>
    <row r="45" spans="1:1" x14ac:dyDescent="0.25">
      <c r="A45">
        <v>1</v>
      </c>
    </row>
    <row r="46" spans="1:1" x14ac:dyDescent="0.25">
      <c r="A46">
        <v>5</v>
      </c>
    </row>
    <row r="47" spans="1:1" x14ac:dyDescent="0.25">
      <c r="A47">
        <v>1</v>
      </c>
    </row>
    <row r="48" spans="1:1" x14ac:dyDescent="0.25">
      <c r="A48">
        <v>2</v>
      </c>
    </row>
    <row r="49" spans="1:1" x14ac:dyDescent="0.25">
      <c r="A49">
        <v>1</v>
      </c>
    </row>
    <row r="50" spans="1:1" x14ac:dyDescent="0.25">
      <c r="A50">
        <v>3</v>
      </c>
    </row>
    <row r="51" spans="1:1" x14ac:dyDescent="0.25">
      <c r="A51">
        <v>7</v>
      </c>
    </row>
    <row r="52" spans="1:1" x14ac:dyDescent="0.25">
      <c r="A52">
        <v>6</v>
      </c>
    </row>
    <row r="53" spans="1:1" x14ac:dyDescent="0.25">
      <c r="A53">
        <v>3</v>
      </c>
    </row>
    <row r="54" spans="1:1" x14ac:dyDescent="0.25">
      <c r="A54">
        <v>7</v>
      </c>
    </row>
    <row r="55" spans="1:1" x14ac:dyDescent="0.25">
      <c r="A55">
        <v>4</v>
      </c>
    </row>
    <row r="56" spans="1:1" x14ac:dyDescent="0.25">
      <c r="A56">
        <v>4</v>
      </c>
    </row>
    <row r="57" spans="1:1" x14ac:dyDescent="0.25">
      <c r="A57">
        <v>2</v>
      </c>
    </row>
    <row r="58" spans="1:1" x14ac:dyDescent="0.25">
      <c r="A58">
        <v>4</v>
      </c>
    </row>
    <row r="59" spans="1:1" x14ac:dyDescent="0.25">
      <c r="A59">
        <v>3</v>
      </c>
    </row>
    <row r="60" spans="1:1" x14ac:dyDescent="0.25">
      <c r="A60">
        <v>5</v>
      </c>
    </row>
    <row r="61" spans="1:1" x14ac:dyDescent="0.25">
      <c r="A61">
        <v>1</v>
      </c>
    </row>
    <row r="62" spans="1:1" x14ac:dyDescent="0.25">
      <c r="A62">
        <v>1</v>
      </c>
    </row>
    <row r="63" spans="1:1" x14ac:dyDescent="0.25">
      <c r="A63">
        <v>1</v>
      </c>
    </row>
    <row r="64" spans="1:1" x14ac:dyDescent="0.25">
      <c r="A64">
        <v>3</v>
      </c>
    </row>
    <row r="65" spans="1:1" x14ac:dyDescent="0.25">
      <c r="A65">
        <v>1</v>
      </c>
    </row>
    <row r="66" spans="1:1" x14ac:dyDescent="0.25">
      <c r="A66">
        <v>4</v>
      </c>
    </row>
    <row r="67" spans="1:1" x14ac:dyDescent="0.25">
      <c r="A67">
        <v>3</v>
      </c>
    </row>
    <row r="68" spans="1:1" x14ac:dyDescent="0.25">
      <c r="A68">
        <v>6</v>
      </c>
    </row>
    <row r="69" spans="1:1" x14ac:dyDescent="0.25">
      <c r="A69">
        <v>1</v>
      </c>
    </row>
    <row r="70" spans="1:1" x14ac:dyDescent="0.25">
      <c r="A70">
        <v>1</v>
      </c>
    </row>
    <row r="71" spans="1:1" x14ac:dyDescent="0.25">
      <c r="A71">
        <v>1</v>
      </c>
    </row>
    <row r="72" spans="1:1" x14ac:dyDescent="0.25">
      <c r="A72">
        <v>1</v>
      </c>
    </row>
    <row r="73" spans="1:1" x14ac:dyDescent="0.25">
      <c r="A73">
        <v>3</v>
      </c>
    </row>
    <row r="74" spans="1:1" x14ac:dyDescent="0.25">
      <c r="A74">
        <v>5</v>
      </c>
    </row>
    <row r="75" spans="1:1" x14ac:dyDescent="0.25">
      <c r="A75">
        <v>5</v>
      </c>
    </row>
    <row r="76" spans="1:1" x14ac:dyDescent="0.25">
      <c r="A76">
        <v>3</v>
      </c>
    </row>
    <row r="77" spans="1:1" x14ac:dyDescent="0.25">
      <c r="A77">
        <v>7</v>
      </c>
    </row>
    <row r="78" spans="1:1" x14ac:dyDescent="0.25">
      <c r="A78">
        <v>6</v>
      </c>
    </row>
    <row r="79" spans="1:1" x14ac:dyDescent="0.25">
      <c r="A79">
        <v>5</v>
      </c>
    </row>
    <row r="80" spans="1:1" x14ac:dyDescent="0.25">
      <c r="A80">
        <v>1</v>
      </c>
    </row>
    <row r="81" spans="1:1" x14ac:dyDescent="0.25">
      <c r="A81">
        <v>7</v>
      </c>
    </row>
    <row r="82" spans="1:1" x14ac:dyDescent="0.25">
      <c r="A82">
        <v>2</v>
      </c>
    </row>
    <row r="83" spans="1:1" x14ac:dyDescent="0.25">
      <c r="A83">
        <v>5</v>
      </c>
    </row>
    <row r="84" spans="1:1" x14ac:dyDescent="0.25">
      <c r="A84">
        <v>3</v>
      </c>
    </row>
    <row r="85" spans="1:1" x14ac:dyDescent="0.25">
      <c r="A85">
        <v>5</v>
      </c>
    </row>
    <row r="86" spans="1:1" x14ac:dyDescent="0.25">
      <c r="A86">
        <v>7</v>
      </c>
    </row>
    <row r="87" spans="1:1" x14ac:dyDescent="0.25">
      <c r="A87">
        <v>5</v>
      </c>
    </row>
    <row r="88" spans="1:1" x14ac:dyDescent="0.25">
      <c r="A88">
        <v>3</v>
      </c>
    </row>
    <row r="89" spans="1:1" x14ac:dyDescent="0.25">
      <c r="A89">
        <v>5</v>
      </c>
    </row>
    <row r="90" spans="1:1" x14ac:dyDescent="0.25">
      <c r="A90">
        <v>1</v>
      </c>
    </row>
    <row r="91" spans="1:1" x14ac:dyDescent="0.25">
      <c r="A91">
        <v>3</v>
      </c>
    </row>
    <row r="92" spans="1:1" x14ac:dyDescent="0.25">
      <c r="A92">
        <v>3</v>
      </c>
    </row>
    <row r="93" spans="1:1" x14ac:dyDescent="0.25">
      <c r="A93">
        <v>1</v>
      </c>
    </row>
    <row r="94" spans="1:1" x14ac:dyDescent="0.25">
      <c r="A94">
        <v>5</v>
      </c>
    </row>
    <row r="95" spans="1:1" x14ac:dyDescent="0.25">
      <c r="A95">
        <v>3</v>
      </c>
    </row>
    <row r="96" spans="1:1" x14ac:dyDescent="0.25">
      <c r="A96">
        <v>5</v>
      </c>
    </row>
    <row r="97" spans="1:1" x14ac:dyDescent="0.25">
      <c r="A97">
        <v>5</v>
      </c>
    </row>
    <row r="98" spans="1:1" x14ac:dyDescent="0.25">
      <c r="A98">
        <v>3</v>
      </c>
    </row>
    <row r="99" spans="1:1" x14ac:dyDescent="0.25">
      <c r="A99">
        <v>1</v>
      </c>
    </row>
    <row r="100" spans="1:1" x14ac:dyDescent="0.25">
      <c r="A100">
        <v>3</v>
      </c>
    </row>
    <row r="101" spans="1:1" x14ac:dyDescent="0.25">
      <c r="A101">
        <v>3</v>
      </c>
    </row>
    <row r="102" spans="1:1" x14ac:dyDescent="0.25">
      <c r="A102">
        <v>4</v>
      </c>
    </row>
    <row r="103" spans="1:1" x14ac:dyDescent="0.25">
      <c r="A103">
        <v>1</v>
      </c>
    </row>
    <row r="104" spans="1:1" x14ac:dyDescent="0.25">
      <c r="A104">
        <v>5</v>
      </c>
    </row>
    <row r="105" spans="1:1" x14ac:dyDescent="0.25">
      <c r="A105">
        <v>5</v>
      </c>
    </row>
    <row r="106" spans="1:1" x14ac:dyDescent="0.25">
      <c r="A106">
        <v>6</v>
      </c>
    </row>
    <row r="107" spans="1:1" x14ac:dyDescent="0.25">
      <c r="A107">
        <v>3</v>
      </c>
    </row>
    <row r="108" spans="1:1" x14ac:dyDescent="0.25">
      <c r="A108">
        <v>6</v>
      </c>
    </row>
    <row r="109" spans="1:1" x14ac:dyDescent="0.25">
      <c r="A109">
        <v>1</v>
      </c>
    </row>
    <row r="110" spans="1:1" x14ac:dyDescent="0.25">
      <c r="A110">
        <v>3</v>
      </c>
    </row>
    <row r="111" spans="1:1" x14ac:dyDescent="0.25">
      <c r="A111">
        <v>2</v>
      </c>
    </row>
    <row r="112" spans="1:1" x14ac:dyDescent="0.25">
      <c r="A112">
        <v>1</v>
      </c>
    </row>
    <row r="113" spans="1:1" x14ac:dyDescent="0.25">
      <c r="A113">
        <v>3</v>
      </c>
    </row>
    <row r="114" spans="1:1" x14ac:dyDescent="0.25">
      <c r="A114">
        <v>1</v>
      </c>
    </row>
    <row r="115" spans="1:1" x14ac:dyDescent="0.25">
      <c r="A115">
        <v>1</v>
      </c>
    </row>
    <row r="116" spans="1:1" x14ac:dyDescent="0.25">
      <c r="A116">
        <v>6</v>
      </c>
    </row>
    <row r="117" spans="1:1" x14ac:dyDescent="0.25">
      <c r="A117">
        <v>1</v>
      </c>
    </row>
    <row r="118" spans="1:1" x14ac:dyDescent="0.25">
      <c r="A118">
        <v>5</v>
      </c>
    </row>
    <row r="119" spans="1:1" x14ac:dyDescent="0.25">
      <c r="A119">
        <v>1</v>
      </c>
    </row>
    <row r="120" spans="1:1" x14ac:dyDescent="0.25">
      <c r="A120">
        <v>5</v>
      </c>
    </row>
    <row r="121" spans="1:1" x14ac:dyDescent="0.25">
      <c r="A121">
        <v>1</v>
      </c>
    </row>
    <row r="122" spans="1:1" x14ac:dyDescent="0.25">
      <c r="A122">
        <v>3</v>
      </c>
    </row>
    <row r="123" spans="1:1" x14ac:dyDescent="0.25">
      <c r="A123">
        <v>3</v>
      </c>
    </row>
    <row r="124" spans="1:1" x14ac:dyDescent="0.25">
      <c r="A124">
        <v>5</v>
      </c>
    </row>
    <row r="125" spans="1:1" x14ac:dyDescent="0.25">
      <c r="A125">
        <v>3</v>
      </c>
    </row>
    <row r="126" spans="1:1" x14ac:dyDescent="0.25">
      <c r="A126">
        <v>6</v>
      </c>
    </row>
    <row r="127" spans="1:1" x14ac:dyDescent="0.25">
      <c r="A127">
        <v>3</v>
      </c>
    </row>
    <row r="128" spans="1:1" x14ac:dyDescent="0.25">
      <c r="A128">
        <v>6</v>
      </c>
    </row>
    <row r="129" spans="1:1" x14ac:dyDescent="0.25">
      <c r="A129">
        <v>3</v>
      </c>
    </row>
    <row r="130" spans="1:1" x14ac:dyDescent="0.25">
      <c r="A130">
        <v>1</v>
      </c>
    </row>
    <row r="131" spans="1:1" x14ac:dyDescent="0.25">
      <c r="A131">
        <v>1</v>
      </c>
    </row>
    <row r="132" spans="1:1" x14ac:dyDescent="0.25">
      <c r="A132">
        <v>1</v>
      </c>
    </row>
    <row r="133" spans="1:1" x14ac:dyDescent="0.25">
      <c r="A133">
        <v>7</v>
      </c>
    </row>
    <row r="134" spans="1:1" x14ac:dyDescent="0.25">
      <c r="A134">
        <v>1</v>
      </c>
    </row>
    <row r="135" spans="1:1" x14ac:dyDescent="0.25">
      <c r="A135">
        <v>5</v>
      </c>
    </row>
    <row r="136" spans="1:1" x14ac:dyDescent="0.25">
      <c r="A136">
        <v>4</v>
      </c>
    </row>
    <row r="137" spans="1:1" x14ac:dyDescent="0.25">
      <c r="A137">
        <v>6</v>
      </c>
    </row>
    <row r="138" spans="1:1" x14ac:dyDescent="0.25">
      <c r="A138">
        <v>1</v>
      </c>
    </row>
    <row r="139" spans="1:1" x14ac:dyDescent="0.25">
      <c r="A139">
        <v>1</v>
      </c>
    </row>
    <row r="140" spans="1:1" x14ac:dyDescent="0.25">
      <c r="A140">
        <v>5</v>
      </c>
    </row>
    <row r="141" spans="1:1" x14ac:dyDescent="0.25">
      <c r="A141">
        <v>5</v>
      </c>
    </row>
    <row r="142" spans="1:1" x14ac:dyDescent="0.25">
      <c r="A142">
        <v>5</v>
      </c>
    </row>
    <row r="143" spans="1:1" x14ac:dyDescent="0.25">
      <c r="A143">
        <v>3</v>
      </c>
    </row>
    <row r="144" spans="1:1" x14ac:dyDescent="0.25">
      <c r="A144">
        <v>6</v>
      </c>
    </row>
    <row r="145" spans="1:1" x14ac:dyDescent="0.25">
      <c r="A145">
        <v>2</v>
      </c>
    </row>
    <row r="146" spans="1:1" x14ac:dyDescent="0.25">
      <c r="A146">
        <v>4</v>
      </c>
    </row>
    <row r="147" spans="1:1" x14ac:dyDescent="0.25">
      <c r="A147">
        <v>7</v>
      </c>
    </row>
    <row r="148" spans="1:1" x14ac:dyDescent="0.25">
      <c r="A148">
        <v>6</v>
      </c>
    </row>
    <row r="149" spans="1:1" x14ac:dyDescent="0.25">
      <c r="A149">
        <v>1</v>
      </c>
    </row>
    <row r="150" spans="1:1" x14ac:dyDescent="0.25">
      <c r="A150">
        <v>1</v>
      </c>
    </row>
    <row r="151" spans="1:1" x14ac:dyDescent="0.25">
      <c r="A151">
        <v>3</v>
      </c>
    </row>
    <row r="152" spans="1:1" x14ac:dyDescent="0.25">
      <c r="A152">
        <v>5</v>
      </c>
    </row>
    <row r="153" spans="1:1" x14ac:dyDescent="0.25">
      <c r="A153">
        <v>1</v>
      </c>
    </row>
    <row r="154" spans="1:1" x14ac:dyDescent="0.25">
      <c r="A154">
        <v>3</v>
      </c>
    </row>
    <row r="155" spans="1:1" x14ac:dyDescent="0.25">
      <c r="A155">
        <v>3</v>
      </c>
    </row>
    <row r="156" spans="1:1" x14ac:dyDescent="0.25">
      <c r="A156">
        <v>6</v>
      </c>
    </row>
    <row r="157" spans="1:1" x14ac:dyDescent="0.25">
      <c r="A157">
        <v>6</v>
      </c>
    </row>
    <row r="158" spans="1:1" x14ac:dyDescent="0.25">
      <c r="A158">
        <v>1</v>
      </c>
    </row>
    <row r="159" spans="1:1" x14ac:dyDescent="0.25">
      <c r="A159">
        <v>3</v>
      </c>
    </row>
    <row r="160" spans="1:1" x14ac:dyDescent="0.25">
      <c r="A160">
        <v>2</v>
      </c>
    </row>
    <row r="161" spans="1:1" x14ac:dyDescent="0.25">
      <c r="A161">
        <v>3</v>
      </c>
    </row>
    <row r="162" spans="1:1" x14ac:dyDescent="0.25">
      <c r="A162">
        <v>1</v>
      </c>
    </row>
    <row r="163" spans="1:1" x14ac:dyDescent="0.25">
      <c r="A163">
        <v>3</v>
      </c>
    </row>
    <row r="164" spans="1:1" x14ac:dyDescent="0.25">
      <c r="A164">
        <v>3</v>
      </c>
    </row>
    <row r="165" spans="1:1" x14ac:dyDescent="0.25">
      <c r="A165">
        <v>1</v>
      </c>
    </row>
    <row r="166" spans="1:1" x14ac:dyDescent="0.25">
      <c r="A166">
        <v>4</v>
      </c>
    </row>
    <row r="167" spans="1:1" x14ac:dyDescent="0.25">
      <c r="A167">
        <v>3</v>
      </c>
    </row>
    <row r="168" spans="1:1" x14ac:dyDescent="0.25">
      <c r="A168">
        <v>5</v>
      </c>
    </row>
    <row r="169" spans="1:1" x14ac:dyDescent="0.25">
      <c r="A169">
        <v>3</v>
      </c>
    </row>
    <row r="170" spans="1:1" x14ac:dyDescent="0.25">
      <c r="A170">
        <v>7</v>
      </c>
    </row>
    <row r="171" spans="1:1" x14ac:dyDescent="0.25">
      <c r="A171">
        <v>1</v>
      </c>
    </row>
    <row r="172" spans="1:1" x14ac:dyDescent="0.25">
      <c r="A172">
        <v>5</v>
      </c>
    </row>
    <row r="173" spans="1:1" x14ac:dyDescent="0.25">
      <c r="A173">
        <v>1</v>
      </c>
    </row>
    <row r="174" spans="1:1" x14ac:dyDescent="0.25">
      <c r="A174">
        <v>5</v>
      </c>
    </row>
    <row r="175" spans="1:1" x14ac:dyDescent="0.25">
      <c r="A175">
        <v>3</v>
      </c>
    </row>
    <row r="176" spans="1:1" x14ac:dyDescent="0.25">
      <c r="A176">
        <v>5</v>
      </c>
    </row>
    <row r="177" spans="1:1" x14ac:dyDescent="0.25">
      <c r="A177">
        <v>2</v>
      </c>
    </row>
    <row r="178" spans="1:1" x14ac:dyDescent="0.25">
      <c r="A178">
        <v>2</v>
      </c>
    </row>
    <row r="179" spans="1:1" x14ac:dyDescent="0.25">
      <c r="A179">
        <v>7</v>
      </c>
    </row>
    <row r="180" spans="1:1" x14ac:dyDescent="0.25">
      <c r="A180">
        <v>3</v>
      </c>
    </row>
    <row r="181" spans="1:1" x14ac:dyDescent="0.25">
      <c r="A181">
        <v>3</v>
      </c>
    </row>
    <row r="182" spans="1:1" x14ac:dyDescent="0.25">
      <c r="A182">
        <v>3</v>
      </c>
    </row>
    <row r="183" spans="1:1" x14ac:dyDescent="0.25">
      <c r="A183">
        <v>1</v>
      </c>
    </row>
    <row r="184" spans="1:1" x14ac:dyDescent="0.25">
      <c r="A184">
        <v>5</v>
      </c>
    </row>
    <row r="185" spans="1:1" x14ac:dyDescent="0.25">
      <c r="A185">
        <v>6</v>
      </c>
    </row>
    <row r="186" spans="1:1" x14ac:dyDescent="0.25">
      <c r="A186">
        <v>6</v>
      </c>
    </row>
    <row r="187" spans="1:1" x14ac:dyDescent="0.25">
      <c r="A187">
        <v>7</v>
      </c>
    </row>
    <row r="188" spans="1:1" x14ac:dyDescent="0.25">
      <c r="A188">
        <v>6</v>
      </c>
    </row>
    <row r="189" spans="1:1" x14ac:dyDescent="0.25">
      <c r="A189">
        <v>7</v>
      </c>
    </row>
    <row r="190" spans="1:1" x14ac:dyDescent="0.25">
      <c r="A190">
        <v>5</v>
      </c>
    </row>
    <row r="191" spans="1:1" x14ac:dyDescent="0.25">
      <c r="A191">
        <v>1</v>
      </c>
    </row>
    <row r="192" spans="1:1" x14ac:dyDescent="0.25">
      <c r="A192">
        <v>5</v>
      </c>
    </row>
    <row r="193" spans="1:1" x14ac:dyDescent="0.25">
      <c r="A193">
        <v>1</v>
      </c>
    </row>
    <row r="194" spans="1:1" x14ac:dyDescent="0.25">
      <c r="A194">
        <v>1</v>
      </c>
    </row>
    <row r="195" spans="1:1" x14ac:dyDescent="0.25">
      <c r="A195">
        <v>3</v>
      </c>
    </row>
    <row r="196" spans="1:1" x14ac:dyDescent="0.25">
      <c r="A196">
        <v>5</v>
      </c>
    </row>
    <row r="197" spans="1:1" x14ac:dyDescent="0.25">
      <c r="A197">
        <v>3</v>
      </c>
    </row>
    <row r="198" spans="1:1" x14ac:dyDescent="0.25">
      <c r="A198">
        <v>1</v>
      </c>
    </row>
    <row r="199" spans="1:1" x14ac:dyDescent="0.25">
      <c r="A199">
        <v>3</v>
      </c>
    </row>
    <row r="200" spans="1:1" x14ac:dyDescent="0.25">
      <c r="A200">
        <v>1</v>
      </c>
    </row>
    <row r="201" spans="1:1" x14ac:dyDescent="0.25">
      <c r="A201">
        <v>3</v>
      </c>
    </row>
    <row r="202" spans="1:1" x14ac:dyDescent="0.25">
      <c r="A202">
        <v>1</v>
      </c>
    </row>
    <row r="203" spans="1:1" x14ac:dyDescent="0.25">
      <c r="A203">
        <v>1</v>
      </c>
    </row>
    <row r="204" spans="1:1" x14ac:dyDescent="0.25">
      <c r="A204">
        <v>3</v>
      </c>
    </row>
    <row r="205" spans="1:1" x14ac:dyDescent="0.25">
      <c r="A205">
        <v>1</v>
      </c>
    </row>
    <row r="206" spans="1:1" x14ac:dyDescent="0.25">
      <c r="A206">
        <v>5</v>
      </c>
    </row>
    <row r="207" spans="1:1" x14ac:dyDescent="0.25">
      <c r="A207">
        <v>2</v>
      </c>
    </row>
    <row r="208" spans="1:1" x14ac:dyDescent="0.25">
      <c r="A208">
        <v>1</v>
      </c>
    </row>
    <row r="209" spans="1:1" x14ac:dyDescent="0.25">
      <c r="A209">
        <v>7</v>
      </c>
    </row>
    <row r="210" spans="1:1" x14ac:dyDescent="0.25">
      <c r="A210">
        <v>3</v>
      </c>
    </row>
    <row r="211" spans="1:1" x14ac:dyDescent="0.25">
      <c r="A211">
        <v>7</v>
      </c>
    </row>
    <row r="212" spans="1:1" x14ac:dyDescent="0.25">
      <c r="A212">
        <v>5</v>
      </c>
    </row>
    <row r="213" spans="1:1" x14ac:dyDescent="0.25">
      <c r="A213">
        <v>2</v>
      </c>
    </row>
    <row r="214" spans="1:1" x14ac:dyDescent="0.25">
      <c r="A214">
        <v>5</v>
      </c>
    </row>
    <row r="215" spans="1:1" x14ac:dyDescent="0.25">
      <c r="A215">
        <v>1</v>
      </c>
    </row>
    <row r="216" spans="1:1" x14ac:dyDescent="0.25">
      <c r="A216">
        <v>5</v>
      </c>
    </row>
    <row r="217" spans="1:1" x14ac:dyDescent="0.25">
      <c r="A217">
        <v>3</v>
      </c>
    </row>
    <row r="218" spans="1:1" x14ac:dyDescent="0.25">
      <c r="A218">
        <v>5</v>
      </c>
    </row>
    <row r="219" spans="1:1" x14ac:dyDescent="0.25">
      <c r="A219">
        <v>1</v>
      </c>
    </row>
    <row r="220" spans="1:1" x14ac:dyDescent="0.25">
      <c r="A220">
        <v>1</v>
      </c>
    </row>
    <row r="221" spans="1:1" x14ac:dyDescent="0.25">
      <c r="A221">
        <v>5</v>
      </c>
    </row>
    <row r="222" spans="1:1" x14ac:dyDescent="0.25">
      <c r="A222">
        <v>3</v>
      </c>
    </row>
    <row r="223" spans="1:1" x14ac:dyDescent="0.25">
      <c r="A223">
        <v>5</v>
      </c>
    </row>
    <row r="224" spans="1:1" x14ac:dyDescent="0.25">
      <c r="A224">
        <v>5</v>
      </c>
    </row>
    <row r="225" spans="1:1" x14ac:dyDescent="0.25">
      <c r="A225">
        <v>1</v>
      </c>
    </row>
    <row r="226" spans="1:1" x14ac:dyDescent="0.25">
      <c r="A226">
        <v>2</v>
      </c>
    </row>
    <row r="227" spans="1:1" x14ac:dyDescent="0.25">
      <c r="A227">
        <v>1</v>
      </c>
    </row>
    <row r="228" spans="1:1" x14ac:dyDescent="0.25">
      <c r="A228">
        <v>1</v>
      </c>
    </row>
    <row r="229" spans="1:1" x14ac:dyDescent="0.25">
      <c r="A229">
        <v>2</v>
      </c>
    </row>
    <row r="230" spans="1:1" x14ac:dyDescent="0.25">
      <c r="A230">
        <v>2</v>
      </c>
    </row>
    <row r="231" spans="1:1" x14ac:dyDescent="0.25">
      <c r="A231">
        <v>5</v>
      </c>
    </row>
    <row r="232" spans="1:1" x14ac:dyDescent="0.25">
      <c r="A232">
        <v>1</v>
      </c>
    </row>
    <row r="233" spans="1:1" x14ac:dyDescent="0.25">
      <c r="A233">
        <v>4</v>
      </c>
    </row>
    <row r="234" spans="1:1" x14ac:dyDescent="0.25">
      <c r="A234">
        <v>4</v>
      </c>
    </row>
    <row r="235" spans="1:1" x14ac:dyDescent="0.25">
      <c r="A235">
        <v>1</v>
      </c>
    </row>
    <row r="236" spans="1:1" x14ac:dyDescent="0.25">
      <c r="A236">
        <v>5</v>
      </c>
    </row>
    <row r="237" spans="1:1" x14ac:dyDescent="0.25">
      <c r="A237">
        <v>3</v>
      </c>
    </row>
    <row r="238" spans="1:1" x14ac:dyDescent="0.25">
      <c r="A238">
        <v>6</v>
      </c>
    </row>
    <row r="239" spans="1:1" x14ac:dyDescent="0.25">
      <c r="A239">
        <v>6</v>
      </c>
    </row>
    <row r="240" spans="1:1" x14ac:dyDescent="0.25">
      <c r="A240">
        <v>3</v>
      </c>
    </row>
    <row r="241" spans="1:1" x14ac:dyDescent="0.25">
      <c r="A241">
        <v>3</v>
      </c>
    </row>
    <row r="242" spans="1:1" x14ac:dyDescent="0.25">
      <c r="A242">
        <v>7</v>
      </c>
    </row>
    <row r="243" spans="1:1" x14ac:dyDescent="0.25">
      <c r="A243">
        <v>3</v>
      </c>
    </row>
    <row r="244" spans="1:1" x14ac:dyDescent="0.25">
      <c r="A244">
        <v>5</v>
      </c>
    </row>
    <row r="245" spans="1:1" x14ac:dyDescent="0.25">
      <c r="A245">
        <v>4</v>
      </c>
    </row>
    <row r="246" spans="1:1" x14ac:dyDescent="0.25">
      <c r="A246">
        <v>1</v>
      </c>
    </row>
    <row r="247" spans="1:1" x14ac:dyDescent="0.25">
      <c r="A247">
        <v>5</v>
      </c>
    </row>
    <row r="248" spans="1:1" x14ac:dyDescent="0.25">
      <c r="A248">
        <v>6</v>
      </c>
    </row>
    <row r="249" spans="1:1" x14ac:dyDescent="0.25">
      <c r="A249">
        <v>1</v>
      </c>
    </row>
    <row r="250" spans="1:1" x14ac:dyDescent="0.25">
      <c r="A250">
        <v>1</v>
      </c>
    </row>
    <row r="251" spans="1:1" x14ac:dyDescent="0.25">
      <c r="A251">
        <v>5</v>
      </c>
    </row>
    <row r="252" spans="1:1" x14ac:dyDescent="0.25">
      <c r="A252">
        <v>5</v>
      </c>
    </row>
    <row r="253" spans="1:1" x14ac:dyDescent="0.25">
      <c r="A253">
        <v>1</v>
      </c>
    </row>
    <row r="254" spans="1:1" x14ac:dyDescent="0.25">
      <c r="A254">
        <v>5</v>
      </c>
    </row>
    <row r="255" spans="1:1" x14ac:dyDescent="0.25">
      <c r="A255">
        <v>5</v>
      </c>
    </row>
    <row r="256" spans="1:1" x14ac:dyDescent="0.25">
      <c r="A256">
        <v>3</v>
      </c>
    </row>
    <row r="257" spans="1:1" x14ac:dyDescent="0.25">
      <c r="A257">
        <v>1</v>
      </c>
    </row>
    <row r="258" spans="1:1" x14ac:dyDescent="0.25">
      <c r="A258">
        <v>1</v>
      </c>
    </row>
    <row r="259" spans="1:1" x14ac:dyDescent="0.25">
      <c r="A259">
        <v>3</v>
      </c>
    </row>
    <row r="260" spans="1:1" x14ac:dyDescent="0.25">
      <c r="A260">
        <v>6</v>
      </c>
    </row>
    <row r="261" spans="1:1" x14ac:dyDescent="0.25">
      <c r="A261">
        <v>1</v>
      </c>
    </row>
    <row r="262" spans="1:1" x14ac:dyDescent="0.25">
      <c r="A262">
        <v>5</v>
      </c>
    </row>
    <row r="263" spans="1:1" x14ac:dyDescent="0.25">
      <c r="A263">
        <v>1</v>
      </c>
    </row>
    <row r="264" spans="1:1" x14ac:dyDescent="0.25">
      <c r="A264">
        <v>5</v>
      </c>
    </row>
    <row r="265" spans="1:1" x14ac:dyDescent="0.25">
      <c r="A265">
        <v>5</v>
      </c>
    </row>
    <row r="266" spans="1:1" x14ac:dyDescent="0.25">
      <c r="A266">
        <v>1</v>
      </c>
    </row>
    <row r="267" spans="1:1" x14ac:dyDescent="0.25">
      <c r="A267">
        <v>7</v>
      </c>
    </row>
    <row r="268" spans="1:1" x14ac:dyDescent="0.25">
      <c r="A268">
        <v>3</v>
      </c>
    </row>
    <row r="269" spans="1:1" x14ac:dyDescent="0.25">
      <c r="A269">
        <v>1</v>
      </c>
    </row>
    <row r="270" spans="1:1" x14ac:dyDescent="0.25">
      <c r="A270">
        <v>1</v>
      </c>
    </row>
    <row r="271" spans="1:1" x14ac:dyDescent="0.25">
      <c r="A271">
        <v>6</v>
      </c>
    </row>
    <row r="272" spans="1:1" x14ac:dyDescent="0.25">
      <c r="A272">
        <v>5</v>
      </c>
    </row>
    <row r="273" spans="1:1" x14ac:dyDescent="0.25">
      <c r="A273">
        <v>1</v>
      </c>
    </row>
    <row r="274" spans="1:1" x14ac:dyDescent="0.25">
      <c r="A274">
        <v>3</v>
      </c>
    </row>
    <row r="275" spans="1:1" x14ac:dyDescent="0.25">
      <c r="A275">
        <v>3</v>
      </c>
    </row>
    <row r="276" spans="1:1" x14ac:dyDescent="0.25">
      <c r="A276">
        <v>1</v>
      </c>
    </row>
    <row r="277" spans="1:1" x14ac:dyDescent="0.25">
      <c r="A277">
        <v>1</v>
      </c>
    </row>
    <row r="278" spans="1:1" x14ac:dyDescent="0.25">
      <c r="A278">
        <v>1</v>
      </c>
    </row>
    <row r="279" spans="1:1" x14ac:dyDescent="0.25">
      <c r="A279">
        <v>1</v>
      </c>
    </row>
    <row r="280" spans="1:1" x14ac:dyDescent="0.25">
      <c r="A280">
        <v>1</v>
      </c>
    </row>
    <row r="281" spans="1:1" x14ac:dyDescent="0.25">
      <c r="A281">
        <v>7</v>
      </c>
    </row>
    <row r="282" spans="1:1" x14ac:dyDescent="0.25">
      <c r="A282">
        <v>1</v>
      </c>
    </row>
    <row r="283" spans="1:1" x14ac:dyDescent="0.25">
      <c r="A283">
        <v>5</v>
      </c>
    </row>
    <row r="284" spans="1:1" x14ac:dyDescent="0.25">
      <c r="A284">
        <v>1</v>
      </c>
    </row>
    <row r="285" spans="1:1" x14ac:dyDescent="0.25">
      <c r="A285">
        <v>1</v>
      </c>
    </row>
    <row r="286" spans="1:1" x14ac:dyDescent="0.25">
      <c r="A286">
        <v>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DAC0-49A2-4A13-AADF-53B000CD5E2E}">
  <dimension ref="A1:M501"/>
  <sheetViews>
    <sheetView topLeftCell="C1" zoomScale="140" zoomScaleNormal="140" workbookViewId="0">
      <selection activeCell="J10" sqref="J10"/>
    </sheetView>
  </sheetViews>
  <sheetFormatPr defaultRowHeight="15" x14ac:dyDescent="0.25"/>
  <cols>
    <col min="1" max="1" width="16.140625" bestFit="1" customWidth="1"/>
    <col min="2" max="2" width="14.42578125" bestFit="1" customWidth="1"/>
    <col min="4" max="4" width="15.5703125" bestFit="1" customWidth="1"/>
    <col min="5" max="5" width="14.140625" customWidth="1"/>
    <col min="6" max="6" width="20.5703125" customWidth="1"/>
    <col min="7" max="7" width="11.42578125" customWidth="1"/>
    <col min="8" max="8" width="13.28515625" customWidth="1"/>
    <col min="9" max="9" width="17" customWidth="1"/>
    <col min="10" max="11" width="16.140625" bestFit="1" customWidth="1"/>
    <col min="13" max="13" width="16.5703125" bestFit="1" customWidth="1"/>
  </cols>
  <sheetData>
    <row r="1" spans="1:13" x14ac:dyDescent="0.25">
      <c r="A1" s="1" t="s">
        <v>17</v>
      </c>
      <c r="B1" s="1" t="s">
        <v>18</v>
      </c>
      <c r="C1" s="1" t="s">
        <v>19</v>
      </c>
      <c r="D1" s="1" t="s">
        <v>20</v>
      </c>
      <c r="E1" s="1" t="s">
        <v>21</v>
      </c>
      <c r="F1" s="1" t="s">
        <v>22</v>
      </c>
      <c r="G1" s="1" t="s">
        <v>23</v>
      </c>
      <c r="H1" s="1" t="s">
        <v>24</v>
      </c>
      <c r="I1" s="1" t="s">
        <v>25</v>
      </c>
    </row>
    <row r="2" spans="1:13" x14ac:dyDescent="0.25">
      <c r="A2" t="s">
        <v>26</v>
      </c>
      <c r="B2" t="s">
        <v>27</v>
      </c>
      <c r="C2">
        <v>34</v>
      </c>
      <c r="D2">
        <v>9</v>
      </c>
      <c r="E2">
        <v>16.09</v>
      </c>
      <c r="F2">
        <v>5</v>
      </c>
      <c r="G2" t="s">
        <v>28</v>
      </c>
      <c r="H2">
        <v>46</v>
      </c>
      <c r="I2" t="s">
        <v>29</v>
      </c>
    </row>
    <row r="3" spans="1:13" x14ac:dyDescent="0.25">
      <c r="A3" t="s">
        <v>30</v>
      </c>
      <c r="B3" t="s">
        <v>31</v>
      </c>
      <c r="C3">
        <v>27</v>
      </c>
      <c r="D3">
        <v>5</v>
      </c>
      <c r="E3">
        <v>19.48</v>
      </c>
      <c r="F3">
        <v>5</v>
      </c>
      <c r="G3" t="s">
        <v>32</v>
      </c>
      <c r="H3">
        <v>42</v>
      </c>
      <c r="I3" t="s">
        <v>33</v>
      </c>
      <c r="L3" t="s">
        <v>52</v>
      </c>
      <c r="M3" t="s">
        <v>53</v>
      </c>
    </row>
    <row r="4" spans="1:13" x14ac:dyDescent="0.25">
      <c r="A4" t="s">
        <v>34</v>
      </c>
      <c r="B4" t="s">
        <v>31</v>
      </c>
      <c r="C4">
        <v>26</v>
      </c>
      <c r="D4">
        <v>3</v>
      </c>
      <c r="E4">
        <v>6.39</v>
      </c>
      <c r="F4">
        <v>4</v>
      </c>
      <c r="G4" t="s">
        <v>32</v>
      </c>
      <c r="H4">
        <v>40</v>
      </c>
      <c r="I4" t="s">
        <v>33</v>
      </c>
      <c r="J4" t="str" cm="1">
        <f t="array" ref="J4:J9">_xlfn.UNIQUE(A2:A501)</f>
        <v>Data Scientist</v>
      </c>
      <c r="K4" t="str" cm="1">
        <f t="array" ref="K4:K9">_xlfn.UNIQUE(A2:A501)</f>
        <v>Data Scientist</v>
      </c>
      <c r="L4">
        <f>COUNTIF($A$2:$A$501,K4)</f>
        <v>100</v>
      </c>
      <c r="M4">
        <f>Health!F2</f>
        <v>17.333333333333336</v>
      </c>
    </row>
    <row r="5" spans="1:13" x14ac:dyDescent="0.25">
      <c r="A5" t="s">
        <v>34</v>
      </c>
      <c r="B5" t="s">
        <v>35</v>
      </c>
      <c r="C5">
        <v>34</v>
      </c>
      <c r="D5">
        <v>10</v>
      </c>
      <c r="E5">
        <v>13.83</v>
      </c>
      <c r="F5">
        <v>5</v>
      </c>
      <c r="G5" t="s">
        <v>32</v>
      </c>
      <c r="H5">
        <v>39</v>
      </c>
      <c r="I5" t="s">
        <v>33</v>
      </c>
      <c r="J5" t="str">
        <v>Project Manager</v>
      </c>
      <c r="K5" t="str">
        <v>Project Manager</v>
      </c>
      <c r="L5">
        <f t="shared" ref="L5:L9" si="0">COUNTIF($A$2:$A$501,K5)</f>
        <v>83</v>
      </c>
      <c r="M5">
        <f t="shared" ref="M5:M9" si="1">L5/$L$10*100</f>
        <v>16.600000000000001</v>
      </c>
    </row>
    <row r="6" spans="1:13" x14ac:dyDescent="0.25">
      <c r="A6" t="s">
        <v>30</v>
      </c>
      <c r="B6" t="s">
        <v>35</v>
      </c>
      <c r="C6">
        <v>41</v>
      </c>
      <c r="D6">
        <v>15</v>
      </c>
      <c r="E6">
        <v>23.14</v>
      </c>
      <c r="F6">
        <v>1</v>
      </c>
      <c r="G6" t="s">
        <v>32</v>
      </c>
      <c r="H6">
        <v>41</v>
      </c>
      <c r="I6" t="s">
        <v>33</v>
      </c>
      <c r="J6" t="str">
        <v>Software Engineer</v>
      </c>
      <c r="K6" t="str">
        <v>Software Engineer</v>
      </c>
      <c r="L6">
        <f t="shared" si="0"/>
        <v>166</v>
      </c>
      <c r="M6">
        <f t="shared" si="1"/>
        <v>33.200000000000003</v>
      </c>
    </row>
    <row r="7" spans="1:13" x14ac:dyDescent="0.25">
      <c r="A7" t="s">
        <v>36</v>
      </c>
      <c r="B7" t="s">
        <v>35</v>
      </c>
      <c r="C7">
        <v>35</v>
      </c>
      <c r="D7">
        <v>6</v>
      </c>
      <c r="E7">
        <v>15.66</v>
      </c>
      <c r="F7">
        <v>2</v>
      </c>
      <c r="G7" t="s">
        <v>28</v>
      </c>
      <c r="H7">
        <v>48</v>
      </c>
      <c r="I7" t="s">
        <v>29</v>
      </c>
      <c r="J7" t="str">
        <v>DevOps Engineer</v>
      </c>
      <c r="K7" t="str">
        <v>DevOps Engineer</v>
      </c>
      <c r="L7">
        <f t="shared" si="0"/>
        <v>53</v>
      </c>
      <c r="M7">
        <f t="shared" si="1"/>
        <v>10.6</v>
      </c>
    </row>
    <row r="8" spans="1:13" x14ac:dyDescent="0.25">
      <c r="A8" t="s">
        <v>34</v>
      </c>
      <c r="B8" t="s">
        <v>31</v>
      </c>
      <c r="C8">
        <v>32</v>
      </c>
      <c r="D8">
        <v>9</v>
      </c>
      <c r="E8">
        <v>11.76</v>
      </c>
      <c r="F8">
        <v>3</v>
      </c>
      <c r="G8" t="s">
        <v>32</v>
      </c>
      <c r="H8">
        <v>41</v>
      </c>
      <c r="I8" t="s">
        <v>33</v>
      </c>
      <c r="J8" t="str">
        <v>QA Engineer</v>
      </c>
      <c r="K8" t="str">
        <v>QA Engineer</v>
      </c>
      <c r="L8">
        <f t="shared" si="0"/>
        <v>47</v>
      </c>
      <c r="M8">
        <f t="shared" si="1"/>
        <v>9.4</v>
      </c>
    </row>
    <row r="9" spans="1:13" x14ac:dyDescent="0.25">
      <c r="A9" t="s">
        <v>36</v>
      </c>
      <c r="B9" t="s">
        <v>31</v>
      </c>
      <c r="C9">
        <v>25</v>
      </c>
      <c r="D9">
        <v>2</v>
      </c>
      <c r="E9">
        <v>12.75</v>
      </c>
      <c r="F9">
        <v>3</v>
      </c>
      <c r="G9" t="s">
        <v>8</v>
      </c>
      <c r="H9">
        <v>40</v>
      </c>
      <c r="I9" t="s">
        <v>33</v>
      </c>
      <c r="J9" t="str">
        <v>UI/UX Designer</v>
      </c>
      <c r="K9" t="str">
        <v>UI/UX Designer</v>
      </c>
      <c r="L9">
        <f t="shared" si="0"/>
        <v>51</v>
      </c>
      <c r="M9">
        <f t="shared" si="1"/>
        <v>10.199999999999999</v>
      </c>
    </row>
    <row r="10" spans="1:13" x14ac:dyDescent="0.25">
      <c r="A10" t="s">
        <v>37</v>
      </c>
      <c r="B10" t="s">
        <v>38</v>
      </c>
      <c r="C10">
        <v>38</v>
      </c>
      <c r="D10">
        <v>11</v>
      </c>
      <c r="E10">
        <v>10.61</v>
      </c>
      <c r="F10">
        <v>2</v>
      </c>
      <c r="G10" t="s">
        <v>28</v>
      </c>
      <c r="H10">
        <v>39</v>
      </c>
      <c r="I10" t="s">
        <v>29</v>
      </c>
      <c r="L10">
        <f>SUM(L4:L9)</f>
        <v>500</v>
      </c>
    </row>
    <row r="11" spans="1:13" x14ac:dyDescent="0.25">
      <c r="A11" t="s">
        <v>34</v>
      </c>
      <c r="B11" t="s">
        <v>35</v>
      </c>
      <c r="C11">
        <v>30</v>
      </c>
      <c r="D11">
        <v>3</v>
      </c>
      <c r="E11">
        <v>8.67</v>
      </c>
      <c r="F11">
        <v>3</v>
      </c>
      <c r="G11" t="s">
        <v>32</v>
      </c>
      <c r="H11">
        <v>32</v>
      </c>
      <c r="I11" t="s">
        <v>33</v>
      </c>
    </row>
    <row r="12" spans="1:13" x14ac:dyDescent="0.25">
      <c r="A12" t="s">
        <v>30</v>
      </c>
      <c r="B12" t="s">
        <v>35</v>
      </c>
      <c r="C12">
        <v>40</v>
      </c>
      <c r="D12">
        <v>11</v>
      </c>
      <c r="E12">
        <v>22.28</v>
      </c>
      <c r="F12">
        <v>3</v>
      </c>
      <c r="G12" t="s">
        <v>32</v>
      </c>
      <c r="H12">
        <v>46</v>
      </c>
      <c r="I12" t="s">
        <v>29</v>
      </c>
    </row>
    <row r="13" spans="1:13" x14ac:dyDescent="0.25">
      <c r="A13" t="s">
        <v>26</v>
      </c>
      <c r="B13" t="s">
        <v>35</v>
      </c>
      <c r="C13">
        <v>36</v>
      </c>
      <c r="D13">
        <v>11</v>
      </c>
      <c r="E13">
        <v>16.7</v>
      </c>
      <c r="F13">
        <v>5</v>
      </c>
      <c r="G13" t="s">
        <v>32</v>
      </c>
      <c r="H13">
        <v>41</v>
      </c>
      <c r="I13" t="s">
        <v>29</v>
      </c>
    </row>
    <row r="14" spans="1:13" x14ac:dyDescent="0.25">
      <c r="A14" t="s">
        <v>34</v>
      </c>
      <c r="B14" t="s">
        <v>31</v>
      </c>
      <c r="C14">
        <v>36</v>
      </c>
      <c r="D14">
        <v>9</v>
      </c>
      <c r="E14">
        <v>9.74</v>
      </c>
      <c r="F14">
        <v>4</v>
      </c>
      <c r="G14" t="s">
        <v>32</v>
      </c>
      <c r="H14">
        <v>40</v>
      </c>
      <c r="I14" t="s">
        <v>29</v>
      </c>
    </row>
    <row r="15" spans="1:13" x14ac:dyDescent="0.25">
      <c r="A15" t="s">
        <v>37</v>
      </c>
      <c r="B15" t="s">
        <v>38</v>
      </c>
      <c r="C15">
        <v>27</v>
      </c>
      <c r="D15">
        <v>5</v>
      </c>
      <c r="E15">
        <v>7.92</v>
      </c>
      <c r="F15">
        <v>1</v>
      </c>
      <c r="G15" t="s">
        <v>32</v>
      </c>
      <c r="H15">
        <v>36</v>
      </c>
      <c r="I15" t="s">
        <v>29</v>
      </c>
    </row>
    <row r="16" spans="1:13" x14ac:dyDescent="0.25">
      <c r="A16" t="s">
        <v>39</v>
      </c>
      <c r="B16" t="s">
        <v>31</v>
      </c>
      <c r="C16">
        <v>27</v>
      </c>
      <c r="D16">
        <v>3</v>
      </c>
      <c r="E16">
        <v>8.81</v>
      </c>
      <c r="F16">
        <v>2</v>
      </c>
      <c r="G16" t="s">
        <v>32</v>
      </c>
      <c r="H16">
        <v>35</v>
      </c>
      <c r="I16" t="s">
        <v>29</v>
      </c>
    </row>
    <row r="17" spans="1:9" x14ac:dyDescent="0.25">
      <c r="A17" t="s">
        <v>34</v>
      </c>
      <c r="B17" t="s">
        <v>31</v>
      </c>
      <c r="C17">
        <v>34</v>
      </c>
      <c r="D17">
        <v>9</v>
      </c>
      <c r="E17">
        <v>11.59</v>
      </c>
      <c r="F17">
        <v>4</v>
      </c>
      <c r="G17" t="s">
        <v>28</v>
      </c>
      <c r="H17">
        <v>41</v>
      </c>
      <c r="I17" t="s">
        <v>33</v>
      </c>
    </row>
    <row r="18" spans="1:9" x14ac:dyDescent="0.25">
      <c r="A18" t="s">
        <v>34</v>
      </c>
      <c r="B18" t="s">
        <v>31</v>
      </c>
      <c r="C18">
        <v>33</v>
      </c>
      <c r="D18">
        <v>5</v>
      </c>
      <c r="E18">
        <v>10.92</v>
      </c>
      <c r="F18">
        <v>2</v>
      </c>
      <c r="G18" t="s">
        <v>28</v>
      </c>
      <c r="H18">
        <v>46</v>
      </c>
      <c r="I18" t="s">
        <v>33</v>
      </c>
    </row>
    <row r="19" spans="1:9" x14ac:dyDescent="0.25">
      <c r="A19" t="s">
        <v>30</v>
      </c>
      <c r="B19" t="s">
        <v>31</v>
      </c>
      <c r="C19">
        <v>37</v>
      </c>
      <c r="D19">
        <v>11</v>
      </c>
      <c r="E19">
        <v>22.07</v>
      </c>
      <c r="F19">
        <v>5</v>
      </c>
      <c r="G19" t="s">
        <v>32</v>
      </c>
      <c r="H19">
        <v>35</v>
      </c>
      <c r="I19" t="s">
        <v>33</v>
      </c>
    </row>
    <row r="20" spans="1:9" x14ac:dyDescent="0.25">
      <c r="A20" t="s">
        <v>37</v>
      </c>
      <c r="B20" t="s">
        <v>31</v>
      </c>
      <c r="C20">
        <v>34</v>
      </c>
      <c r="D20">
        <v>5</v>
      </c>
      <c r="E20">
        <v>4.99</v>
      </c>
      <c r="F20">
        <v>3</v>
      </c>
      <c r="G20" t="s">
        <v>32</v>
      </c>
      <c r="H20">
        <v>48</v>
      </c>
      <c r="I20" t="s">
        <v>29</v>
      </c>
    </row>
    <row r="21" spans="1:9" x14ac:dyDescent="0.25">
      <c r="A21" t="s">
        <v>34</v>
      </c>
      <c r="B21" t="s">
        <v>31</v>
      </c>
      <c r="C21">
        <v>30</v>
      </c>
      <c r="D21">
        <v>1</v>
      </c>
      <c r="E21">
        <v>6.66</v>
      </c>
      <c r="F21">
        <v>4</v>
      </c>
      <c r="G21" t="s">
        <v>32</v>
      </c>
      <c r="H21">
        <v>45</v>
      </c>
      <c r="I21" t="s">
        <v>29</v>
      </c>
    </row>
    <row r="22" spans="1:9" x14ac:dyDescent="0.25">
      <c r="A22" t="s">
        <v>30</v>
      </c>
      <c r="B22" t="s">
        <v>31</v>
      </c>
      <c r="C22">
        <v>36</v>
      </c>
      <c r="D22">
        <v>9</v>
      </c>
      <c r="E22">
        <v>22.18</v>
      </c>
      <c r="F22">
        <v>1</v>
      </c>
      <c r="G22" t="s">
        <v>32</v>
      </c>
      <c r="H22">
        <v>44</v>
      </c>
      <c r="I22" t="s">
        <v>29</v>
      </c>
    </row>
    <row r="23" spans="1:9" x14ac:dyDescent="0.25">
      <c r="A23" t="s">
        <v>26</v>
      </c>
      <c r="B23" t="s">
        <v>27</v>
      </c>
      <c r="C23">
        <v>29</v>
      </c>
      <c r="D23">
        <v>1</v>
      </c>
      <c r="E23">
        <v>10.33</v>
      </c>
      <c r="F23">
        <v>4</v>
      </c>
      <c r="G23" t="s">
        <v>28</v>
      </c>
      <c r="H23">
        <v>41</v>
      </c>
      <c r="I23" t="s">
        <v>33</v>
      </c>
    </row>
    <row r="24" spans="1:9" x14ac:dyDescent="0.25">
      <c r="A24" t="s">
        <v>34</v>
      </c>
      <c r="B24" t="s">
        <v>31</v>
      </c>
      <c r="C24">
        <v>36</v>
      </c>
      <c r="D24">
        <v>9</v>
      </c>
      <c r="E24">
        <v>11.03</v>
      </c>
      <c r="F24">
        <v>4</v>
      </c>
      <c r="G24" t="s">
        <v>28</v>
      </c>
      <c r="H24">
        <v>39</v>
      </c>
      <c r="I24" t="s">
        <v>33</v>
      </c>
    </row>
    <row r="25" spans="1:9" x14ac:dyDescent="0.25">
      <c r="A25" t="s">
        <v>34</v>
      </c>
      <c r="B25" t="s">
        <v>35</v>
      </c>
      <c r="C25">
        <v>31</v>
      </c>
      <c r="D25">
        <v>8</v>
      </c>
      <c r="E25">
        <v>11.36</v>
      </c>
      <c r="F25">
        <v>2</v>
      </c>
      <c r="G25" t="s">
        <v>32</v>
      </c>
      <c r="H25">
        <v>49</v>
      </c>
      <c r="I25" t="s">
        <v>33</v>
      </c>
    </row>
    <row r="26" spans="1:9" x14ac:dyDescent="0.25">
      <c r="A26" t="s">
        <v>34</v>
      </c>
      <c r="B26" t="s">
        <v>31</v>
      </c>
      <c r="C26">
        <v>31</v>
      </c>
      <c r="D26">
        <v>4</v>
      </c>
      <c r="E26">
        <v>8.48</v>
      </c>
      <c r="F26">
        <v>3</v>
      </c>
      <c r="G26" t="s">
        <v>28</v>
      </c>
      <c r="H26">
        <v>32</v>
      </c>
      <c r="I26" t="s">
        <v>29</v>
      </c>
    </row>
    <row r="27" spans="1:9" x14ac:dyDescent="0.25">
      <c r="A27" t="s">
        <v>39</v>
      </c>
      <c r="B27" t="s">
        <v>35</v>
      </c>
      <c r="C27">
        <v>30</v>
      </c>
      <c r="D27">
        <v>6</v>
      </c>
      <c r="E27">
        <v>13.2</v>
      </c>
      <c r="F27">
        <v>4</v>
      </c>
      <c r="G27" t="s">
        <v>32</v>
      </c>
      <c r="H27">
        <v>40</v>
      </c>
      <c r="I27" t="s">
        <v>29</v>
      </c>
    </row>
    <row r="28" spans="1:9" x14ac:dyDescent="0.25">
      <c r="A28" t="s">
        <v>26</v>
      </c>
      <c r="B28" t="s">
        <v>35</v>
      </c>
      <c r="C28">
        <v>37</v>
      </c>
      <c r="D28">
        <v>9</v>
      </c>
      <c r="E28">
        <v>16.940000000000001</v>
      </c>
      <c r="F28">
        <v>3</v>
      </c>
      <c r="G28" t="s">
        <v>28</v>
      </c>
      <c r="H28">
        <v>40</v>
      </c>
      <c r="I28" t="s">
        <v>29</v>
      </c>
    </row>
    <row r="29" spans="1:9" x14ac:dyDescent="0.25">
      <c r="A29" t="s">
        <v>30</v>
      </c>
      <c r="B29" t="s">
        <v>31</v>
      </c>
      <c r="C29">
        <v>32</v>
      </c>
      <c r="D29">
        <v>6</v>
      </c>
      <c r="E29">
        <v>20.190000000000001</v>
      </c>
      <c r="F29">
        <v>4</v>
      </c>
      <c r="G29" t="s">
        <v>32</v>
      </c>
      <c r="H29">
        <v>45</v>
      </c>
      <c r="I29" t="s">
        <v>33</v>
      </c>
    </row>
    <row r="30" spans="1:9" x14ac:dyDescent="0.25">
      <c r="A30" t="s">
        <v>37</v>
      </c>
      <c r="B30" t="s">
        <v>38</v>
      </c>
      <c r="C30">
        <v>29</v>
      </c>
      <c r="D30">
        <v>2</v>
      </c>
      <c r="E30">
        <v>9.6</v>
      </c>
      <c r="F30">
        <v>4</v>
      </c>
      <c r="G30" t="s">
        <v>32</v>
      </c>
      <c r="H30">
        <v>44</v>
      </c>
      <c r="I30" t="s">
        <v>29</v>
      </c>
    </row>
    <row r="31" spans="1:9" x14ac:dyDescent="0.25">
      <c r="A31" t="s">
        <v>26</v>
      </c>
      <c r="B31" t="s">
        <v>35</v>
      </c>
      <c r="C31">
        <v>34</v>
      </c>
      <c r="D31">
        <v>7</v>
      </c>
      <c r="E31">
        <v>16.64</v>
      </c>
      <c r="F31">
        <v>3</v>
      </c>
      <c r="G31" t="s">
        <v>28</v>
      </c>
      <c r="H31">
        <v>49</v>
      </c>
      <c r="I31" t="s">
        <v>29</v>
      </c>
    </row>
    <row r="32" spans="1:9" x14ac:dyDescent="0.25">
      <c r="A32" t="s">
        <v>39</v>
      </c>
      <c r="B32" t="s">
        <v>35</v>
      </c>
      <c r="C32">
        <v>36</v>
      </c>
      <c r="D32">
        <v>8</v>
      </c>
      <c r="E32">
        <v>13.47</v>
      </c>
      <c r="F32">
        <v>5</v>
      </c>
      <c r="G32" t="s">
        <v>28</v>
      </c>
      <c r="H32">
        <v>43</v>
      </c>
      <c r="I32" t="s">
        <v>33</v>
      </c>
    </row>
    <row r="33" spans="1:9" x14ac:dyDescent="0.25">
      <c r="A33" t="s">
        <v>36</v>
      </c>
      <c r="B33" t="s">
        <v>31</v>
      </c>
      <c r="C33">
        <v>37</v>
      </c>
      <c r="D33">
        <v>15</v>
      </c>
      <c r="E33">
        <v>20.41</v>
      </c>
      <c r="F33">
        <v>2</v>
      </c>
      <c r="G33" t="s">
        <v>8</v>
      </c>
      <c r="H33">
        <v>40</v>
      </c>
      <c r="I33" t="s">
        <v>29</v>
      </c>
    </row>
    <row r="34" spans="1:9" x14ac:dyDescent="0.25">
      <c r="A34" t="s">
        <v>26</v>
      </c>
      <c r="B34" t="s">
        <v>27</v>
      </c>
      <c r="C34">
        <v>26</v>
      </c>
      <c r="D34">
        <v>4</v>
      </c>
      <c r="E34">
        <v>13.92</v>
      </c>
      <c r="F34">
        <v>3</v>
      </c>
      <c r="G34" t="s">
        <v>32</v>
      </c>
      <c r="H34">
        <v>43</v>
      </c>
      <c r="I34" t="s">
        <v>29</v>
      </c>
    </row>
    <row r="35" spans="1:9" x14ac:dyDescent="0.25">
      <c r="A35" t="s">
        <v>26</v>
      </c>
      <c r="B35" t="s">
        <v>35</v>
      </c>
      <c r="C35">
        <v>33</v>
      </c>
      <c r="D35">
        <v>4</v>
      </c>
      <c r="E35">
        <v>11.54</v>
      </c>
      <c r="F35">
        <v>4</v>
      </c>
      <c r="G35" t="s">
        <v>32</v>
      </c>
      <c r="H35">
        <v>44</v>
      </c>
      <c r="I35" t="s">
        <v>29</v>
      </c>
    </row>
    <row r="36" spans="1:9" x14ac:dyDescent="0.25">
      <c r="A36" t="s">
        <v>39</v>
      </c>
      <c r="B36" t="s">
        <v>31</v>
      </c>
      <c r="C36">
        <v>30</v>
      </c>
      <c r="D36">
        <v>6</v>
      </c>
      <c r="E36">
        <v>12.44</v>
      </c>
      <c r="F36">
        <v>4</v>
      </c>
      <c r="G36" t="s">
        <v>28</v>
      </c>
      <c r="H36">
        <v>37</v>
      </c>
      <c r="I36" t="s">
        <v>29</v>
      </c>
    </row>
    <row r="37" spans="1:9" x14ac:dyDescent="0.25">
      <c r="A37" t="s">
        <v>34</v>
      </c>
      <c r="B37" t="s">
        <v>31</v>
      </c>
      <c r="C37">
        <v>22</v>
      </c>
      <c r="D37">
        <v>0</v>
      </c>
      <c r="E37">
        <v>4.45</v>
      </c>
      <c r="F37">
        <v>3</v>
      </c>
      <c r="G37" t="s">
        <v>28</v>
      </c>
      <c r="H37">
        <v>42</v>
      </c>
      <c r="I37" t="s">
        <v>33</v>
      </c>
    </row>
    <row r="38" spans="1:9" x14ac:dyDescent="0.25">
      <c r="A38" t="s">
        <v>36</v>
      </c>
      <c r="B38" t="s">
        <v>31</v>
      </c>
      <c r="C38">
        <v>29</v>
      </c>
      <c r="D38">
        <v>7</v>
      </c>
      <c r="E38">
        <v>16.23</v>
      </c>
      <c r="F38">
        <v>2</v>
      </c>
      <c r="G38" t="s">
        <v>32</v>
      </c>
      <c r="H38">
        <v>42</v>
      </c>
      <c r="I38" t="s">
        <v>33</v>
      </c>
    </row>
    <row r="39" spans="1:9" x14ac:dyDescent="0.25">
      <c r="A39" t="s">
        <v>36</v>
      </c>
      <c r="B39" t="s">
        <v>31</v>
      </c>
      <c r="C39">
        <v>38</v>
      </c>
      <c r="D39">
        <v>9</v>
      </c>
      <c r="E39">
        <v>18.55</v>
      </c>
      <c r="F39">
        <v>3</v>
      </c>
      <c r="G39" t="s">
        <v>32</v>
      </c>
      <c r="H39">
        <v>41</v>
      </c>
      <c r="I39" t="s">
        <v>33</v>
      </c>
    </row>
    <row r="40" spans="1:9" x14ac:dyDescent="0.25">
      <c r="A40" t="s">
        <v>26</v>
      </c>
      <c r="B40" t="s">
        <v>27</v>
      </c>
      <c r="C40">
        <v>35</v>
      </c>
      <c r="D40">
        <v>7</v>
      </c>
      <c r="E40">
        <v>15.66</v>
      </c>
      <c r="F40">
        <v>3</v>
      </c>
      <c r="G40" t="s">
        <v>32</v>
      </c>
      <c r="H40">
        <v>40</v>
      </c>
      <c r="I40" t="s">
        <v>33</v>
      </c>
    </row>
    <row r="41" spans="1:9" x14ac:dyDescent="0.25">
      <c r="A41" t="s">
        <v>39</v>
      </c>
      <c r="B41" t="s">
        <v>31</v>
      </c>
      <c r="C41">
        <v>34</v>
      </c>
      <c r="D41">
        <v>10</v>
      </c>
      <c r="E41">
        <v>16.59</v>
      </c>
      <c r="F41">
        <v>3</v>
      </c>
      <c r="G41" t="s">
        <v>28</v>
      </c>
      <c r="H41">
        <v>46</v>
      </c>
      <c r="I41" t="s">
        <v>29</v>
      </c>
    </row>
    <row r="42" spans="1:9" x14ac:dyDescent="0.25">
      <c r="A42" t="s">
        <v>34</v>
      </c>
      <c r="B42" t="s">
        <v>31</v>
      </c>
      <c r="C42">
        <v>36</v>
      </c>
      <c r="D42">
        <v>7</v>
      </c>
      <c r="E42">
        <v>12.59</v>
      </c>
      <c r="F42">
        <v>2</v>
      </c>
      <c r="G42" t="s">
        <v>32</v>
      </c>
      <c r="H42">
        <v>39</v>
      </c>
      <c r="I42" t="s">
        <v>33</v>
      </c>
    </row>
    <row r="43" spans="1:9" x14ac:dyDescent="0.25">
      <c r="A43" t="s">
        <v>34</v>
      </c>
      <c r="B43" t="s">
        <v>31</v>
      </c>
      <c r="C43">
        <v>30</v>
      </c>
      <c r="D43">
        <v>7</v>
      </c>
      <c r="E43">
        <v>11.06</v>
      </c>
      <c r="F43">
        <v>3</v>
      </c>
      <c r="G43" t="s">
        <v>32</v>
      </c>
      <c r="H43">
        <v>42</v>
      </c>
      <c r="I43" t="s">
        <v>29</v>
      </c>
    </row>
    <row r="44" spans="1:9" x14ac:dyDescent="0.25">
      <c r="A44" t="s">
        <v>37</v>
      </c>
      <c r="B44" t="s">
        <v>38</v>
      </c>
      <c r="C44">
        <v>25</v>
      </c>
      <c r="D44">
        <v>2</v>
      </c>
      <c r="E44">
        <v>7.85</v>
      </c>
      <c r="F44">
        <v>3</v>
      </c>
      <c r="G44" t="s">
        <v>32</v>
      </c>
      <c r="H44">
        <v>47</v>
      </c>
      <c r="I44" t="s">
        <v>29</v>
      </c>
    </row>
    <row r="45" spans="1:9" x14ac:dyDescent="0.25">
      <c r="A45" t="s">
        <v>36</v>
      </c>
      <c r="B45" t="s">
        <v>31</v>
      </c>
      <c r="C45">
        <v>33</v>
      </c>
      <c r="D45">
        <v>5</v>
      </c>
      <c r="E45">
        <v>16.100000000000001</v>
      </c>
      <c r="F45">
        <v>4</v>
      </c>
      <c r="G45" t="s">
        <v>32</v>
      </c>
      <c r="H45">
        <v>51</v>
      </c>
      <c r="I45" t="s">
        <v>29</v>
      </c>
    </row>
    <row r="46" spans="1:9" x14ac:dyDescent="0.25">
      <c r="A46" t="s">
        <v>34</v>
      </c>
      <c r="B46" t="s">
        <v>31</v>
      </c>
      <c r="C46">
        <v>28</v>
      </c>
      <c r="D46">
        <v>4</v>
      </c>
      <c r="E46">
        <v>8.07</v>
      </c>
      <c r="F46">
        <v>4</v>
      </c>
      <c r="G46" t="s">
        <v>32</v>
      </c>
      <c r="H46">
        <v>34</v>
      </c>
      <c r="I46" t="s">
        <v>33</v>
      </c>
    </row>
    <row r="47" spans="1:9" x14ac:dyDescent="0.25">
      <c r="A47" t="s">
        <v>34</v>
      </c>
      <c r="B47" t="s">
        <v>31</v>
      </c>
      <c r="C47">
        <v>25</v>
      </c>
      <c r="D47">
        <v>1</v>
      </c>
      <c r="E47">
        <v>5.13</v>
      </c>
      <c r="F47">
        <v>5</v>
      </c>
      <c r="G47" t="s">
        <v>28</v>
      </c>
      <c r="H47">
        <v>39</v>
      </c>
      <c r="I47" t="s">
        <v>29</v>
      </c>
    </row>
    <row r="48" spans="1:9" x14ac:dyDescent="0.25">
      <c r="A48" t="s">
        <v>30</v>
      </c>
      <c r="B48" t="s">
        <v>35</v>
      </c>
      <c r="C48">
        <v>49</v>
      </c>
      <c r="D48">
        <v>25</v>
      </c>
      <c r="E48">
        <v>32.54</v>
      </c>
      <c r="F48">
        <v>4</v>
      </c>
      <c r="G48" t="s">
        <v>32</v>
      </c>
      <c r="H48">
        <v>48</v>
      </c>
      <c r="I48" t="s">
        <v>33</v>
      </c>
    </row>
    <row r="49" spans="1:9" x14ac:dyDescent="0.25">
      <c r="A49" t="s">
        <v>34</v>
      </c>
      <c r="B49" t="s">
        <v>31</v>
      </c>
      <c r="C49">
        <v>28</v>
      </c>
      <c r="D49">
        <v>0</v>
      </c>
      <c r="E49">
        <v>6.5</v>
      </c>
      <c r="F49">
        <v>2</v>
      </c>
      <c r="G49" t="s">
        <v>32</v>
      </c>
      <c r="H49">
        <v>32</v>
      </c>
      <c r="I49" t="s">
        <v>33</v>
      </c>
    </row>
    <row r="50" spans="1:9" x14ac:dyDescent="0.25">
      <c r="A50" t="s">
        <v>37</v>
      </c>
      <c r="B50" t="s">
        <v>31</v>
      </c>
      <c r="C50">
        <v>33</v>
      </c>
      <c r="D50">
        <v>7</v>
      </c>
      <c r="E50">
        <v>9.93</v>
      </c>
      <c r="F50">
        <v>5</v>
      </c>
      <c r="G50" t="s">
        <v>28</v>
      </c>
      <c r="H50">
        <v>39</v>
      </c>
      <c r="I50" t="s">
        <v>33</v>
      </c>
    </row>
    <row r="51" spans="1:9" x14ac:dyDescent="0.25">
      <c r="A51" t="s">
        <v>26</v>
      </c>
      <c r="B51" t="s">
        <v>27</v>
      </c>
      <c r="C51">
        <v>25</v>
      </c>
      <c r="D51">
        <v>3</v>
      </c>
      <c r="E51">
        <v>13.09</v>
      </c>
      <c r="F51">
        <v>1</v>
      </c>
      <c r="G51" t="s">
        <v>28</v>
      </c>
      <c r="H51">
        <v>42</v>
      </c>
      <c r="I51" t="s">
        <v>33</v>
      </c>
    </row>
    <row r="52" spans="1:9" x14ac:dyDescent="0.25">
      <c r="A52" t="s">
        <v>30</v>
      </c>
      <c r="B52" t="s">
        <v>31</v>
      </c>
      <c r="C52">
        <v>47</v>
      </c>
      <c r="D52">
        <v>20</v>
      </c>
      <c r="E52">
        <v>29.25</v>
      </c>
      <c r="F52">
        <v>5</v>
      </c>
      <c r="G52" t="s">
        <v>32</v>
      </c>
      <c r="H52">
        <v>43</v>
      </c>
      <c r="I52" t="s">
        <v>29</v>
      </c>
    </row>
    <row r="53" spans="1:9" x14ac:dyDescent="0.25">
      <c r="A53" t="s">
        <v>26</v>
      </c>
      <c r="B53" t="s">
        <v>35</v>
      </c>
      <c r="C53">
        <v>26</v>
      </c>
      <c r="D53">
        <v>4</v>
      </c>
      <c r="E53">
        <v>11.34</v>
      </c>
      <c r="F53">
        <v>3</v>
      </c>
      <c r="G53" t="s">
        <v>28</v>
      </c>
      <c r="H53">
        <v>47</v>
      </c>
      <c r="I53" t="s">
        <v>29</v>
      </c>
    </row>
    <row r="54" spans="1:9" x14ac:dyDescent="0.25">
      <c r="A54" t="s">
        <v>34</v>
      </c>
      <c r="B54" t="s">
        <v>31</v>
      </c>
      <c r="C54">
        <v>36</v>
      </c>
      <c r="D54">
        <v>10</v>
      </c>
      <c r="E54">
        <v>9.6999999999999993</v>
      </c>
      <c r="F54">
        <v>3</v>
      </c>
      <c r="G54" t="s">
        <v>28</v>
      </c>
      <c r="H54">
        <v>32</v>
      </c>
      <c r="I54" t="s">
        <v>29</v>
      </c>
    </row>
    <row r="55" spans="1:9" x14ac:dyDescent="0.25">
      <c r="A55" t="s">
        <v>34</v>
      </c>
      <c r="B55" t="s">
        <v>31</v>
      </c>
      <c r="C55">
        <v>31</v>
      </c>
      <c r="D55">
        <v>9</v>
      </c>
      <c r="E55">
        <v>13.33</v>
      </c>
      <c r="F55">
        <v>3</v>
      </c>
      <c r="G55" t="s">
        <v>32</v>
      </c>
      <c r="H55">
        <v>30</v>
      </c>
      <c r="I55" t="s">
        <v>29</v>
      </c>
    </row>
    <row r="56" spans="1:9" x14ac:dyDescent="0.25">
      <c r="A56" t="s">
        <v>30</v>
      </c>
      <c r="B56" t="s">
        <v>31</v>
      </c>
      <c r="C56">
        <v>34</v>
      </c>
      <c r="D56">
        <v>10</v>
      </c>
      <c r="E56">
        <v>22.39</v>
      </c>
      <c r="F56">
        <v>2</v>
      </c>
      <c r="G56" t="s">
        <v>28</v>
      </c>
      <c r="H56">
        <v>50</v>
      </c>
      <c r="I56" t="s">
        <v>29</v>
      </c>
    </row>
    <row r="57" spans="1:9" x14ac:dyDescent="0.25">
      <c r="A57" t="s">
        <v>34</v>
      </c>
      <c r="B57" t="s">
        <v>35</v>
      </c>
      <c r="C57">
        <v>32</v>
      </c>
      <c r="D57">
        <v>6</v>
      </c>
      <c r="E57">
        <v>10.01</v>
      </c>
      <c r="F57">
        <v>3</v>
      </c>
      <c r="G57" t="s">
        <v>32</v>
      </c>
      <c r="H57">
        <v>43</v>
      </c>
      <c r="I57" t="s">
        <v>29</v>
      </c>
    </row>
    <row r="58" spans="1:9" x14ac:dyDescent="0.25">
      <c r="A58" t="s">
        <v>26</v>
      </c>
      <c r="B58" t="s">
        <v>35</v>
      </c>
      <c r="C58">
        <v>29</v>
      </c>
      <c r="D58">
        <v>1</v>
      </c>
      <c r="E58">
        <v>11.22</v>
      </c>
      <c r="F58">
        <v>4</v>
      </c>
      <c r="G58" t="s">
        <v>32</v>
      </c>
      <c r="H58">
        <v>44</v>
      </c>
      <c r="I58" t="s">
        <v>29</v>
      </c>
    </row>
    <row r="59" spans="1:9" x14ac:dyDescent="0.25">
      <c r="A59" t="s">
        <v>34</v>
      </c>
      <c r="B59" t="s">
        <v>31</v>
      </c>
      <c r="C59">
        <v>25</v>
      </c>
      <c r="D59">
        <v>1</v>
      </c>
      <c r="E59">
        <v>6.45</v>
      </c>
      <c r="F59">
        <v>4</v>
      </c>
      <c r="G59" t="s">
        <v>32</v>
      </c>
      <c r="H59">
        <v>43</v>
      </c>
      <c r="I59" t="s">
        <v>33</v>
      </c>
    </row>
    <row r="60" spans="1:9" x14ac:dyDescent="0.25">
      <c r="A60" t="s">
        <v>34</v>
      </c>
      <c r="B60" t="s">
        <v>31</v>
      </c>
      <c r="C60">
        <v>33</v>
      </c>
      <c r="D60">
        <v>7</v>
      </c>
      <c r="E60">
        <v>9.4700000000000006</v>
      </c>
      <c r="F60">
        <v>3</v>
      </c>
      <c r="G60" t="s">
        <v>32</v>
      </c>
      <c r="H60">
        <v>35</v>
      </c>
      <c r="I60" t="s">
        <v>29</v>
      </c>
    </row>
    <row r="61" spans="1:9" x14ac:dyDescent="0.25">
      <c r="A61" t="s">
        <v>34</v>
      </c>
      <c r="B61" t="s">
        <v>35</v>
      </c>
      <c r="C61">
        <v>31</v>
      </c>
      <c r="D61">
        <v>4</v>
      </c>
      <c r="E61">
        <v>8.6999999999999993</v>
      </c>
      <c r="F61">
        <v>3</v>
      </c>
      <c r="G61" t="s">
        <v>32</v>
      </c>
      <c r="H61">
        <v>39</v>
      </c>
      <c r="I61" t="s">
        <v>33</v>
      </c>
    </row>
    <row r="62" spans="1:9" x14ac:dyDescent="0.25">
      <c r="A62" t="s">
        <v>26</v>
      </c>
      <c r="B62" t="s">
        <v>27</v>
      </c>
      <c r="C62">
        <v>40</v>
      </c>
      <c r="D62">
        <v>11</v>
      </c>
      <c r="E62">
        <v>20.59</v>
      </c>
      <c r="F62">
        <v>5</v>
      </c>
      <c r="G62" t="s">
        <v>32</v>
      </c>
      <c r="H62">
        <v>45</v>
      </c>
      <c r="I62" t="s">
        <v>33</v>
      </c>
    </row>
    <row r="63" spans="1:9" x14ac:dyDescent="0.25">
      <c r="A63" t="s">
        <v>36</v>
      </c>
      <c r="B63" t="s">
        <v>35</v>
      </c>
      <c r="C63">
        <v>37</v>
      </c>
      <c r="D63">
        <v>13</v>
      </c>
      <c r="E63">
        <v>20.09</v>
      </c>
      <c r="F63">
        <v>3</v>
      </c>
      <c r="G63" t="s">
        <v>32</v>
      </c>
      <c r="H63">
        <v>42</v>
      </c>
      <c r="I63" t="s">
        <v>33</v>
      </c>
    </row>
    <row r="64" spans="1:9" x14ac:dyDescent="0.25">
      <c r="A64" t="s">
        <v>39</v>
      </c>
      <c r="B64" t="s">
        <v>38</v>
      </c>
      <c r="C64">
        <v>32</v>
      </c>
      <c r="D64">
        <v>10</v>
      </c>
      <c r="E64">
        <v>13.84</v>
      </c>
      <c r="F64">
        <v>2</v>
      </c>
      <c r="G64" t="s">
        <v>28</v>
      </c>
      <c r="H64">
        <v>45</v>
      </c>
      <c r="I64" t="s">
        <v>29</v>
      </c>
    </row>
    <row r="65" spans="1:9" x14ac:dyDescent="0.25">
      <c r="A65" t="s">
        <v>26</v>
      </c>
      <c r="B65" t="s">
        <v>35</v>
      </c>
      <c r="C65">
        <v>35</v>
      </c>
      <c r="D65">
        <v>9</v>
      </c>
      <c r="E65">
        <v>14.97</v>
      </c>
      <c r="F65">
        <v>3</v>
      </c>
      <c r="G65" t="s">
        <v>32</v>
      </c>
      <c r="H65">
        <v>41</v>
      </c>
      <c r="I65" t="s">
        <v>33</v>
      </c>
    </row>
    <row r="66" spans="1:9" x14ac:dyDescent="0.25">
      <c r="A66" t="s">
        <v>26</v>
      </c>
      <c r="B66" t="s">
        <v>35</v>
      </c>
      <c r="C66">
        <v>31</v>
      </c>
      <c r="D66">
        <v>7</v>
      </c>
      <c r="E66">
        <v>17.46</v>
      </c>
      <c r="F66">
        <v>4</v>
      </c>
      <c r="G66" t="s">
        <v>32</v>
      </c>
      <c r="H66">
        <v>40</v>
      </c>
      <c r="I66" t="s">
        <v>29</v>
      </c>
    </row>
    <row r="67" spans="1:9" x14ac:dyDescent="0.25">
      <c r="A67" t="s">
        <v>30</v>
      </c>
      <c r="B67" t="s">
        <v>35</v>
      </c>
      <c r="C67">
        <v>42</v>
      </c>
      <c r="D67">
        <v>13</v>
      </c>
      <c r="E67">
        <v>24.9</v>
      </c>
      <c r="F67">
        <v>2</v>
      </c>
      <c r="G67" t="s">
        <v>32</v>
      </c>
      <c r="H67">
        <v>43</v>
      </c>
      <c r="I67" t="s">
        <v>29</v>
      </c>
    </row>
    <row r="68" spans="1:9" x14ac:dyDescent="0.25">
      <c r="A68" t="s">
        <v>34</v>
      </c>
      <c r="B68" t="s">
        <v>35</v>
      </c>
      <c r="C68">
        <v>34</v>
      </c>
      <c r="D68">
        <v>9</v>
      </c>
      <c r="E68">
        <v>13.24</v>
      </c>
      <c r="F68">
        <v>2</v>
      </c>
      <c r="G68" t="s">
        <v>32</v>
      </c>
      <c r="H68">
        <v>44</v>
      </c>
      <c r="I68" t="s">
        <v>33</v>
      </c>
    </row>
    <row r="69" spans="1:9" x14ac:dyDescent="0.25">
      <c r="A69" t="s">
        <v>34</v>
      </c>
      <c r="B69" t="s">
        <v>31</v>
      </c>
      <c r="C69">
        <v>32</v>
      </c>
      <c r="D69">
        <v>5</v>
      </c>
      <c r="E69">
        <v>9.5500000000000007</v>
      </c>
      <c r="F69">
        <v>4</v>
      </c>
      <c r="G69" t="s">
        <v>32</v>
      </c>
      <c r="H69">
        <v>37</v>
      </c>
      <c r="I69" t="s">
        <v>33</v>
      </c>
    </row>
    <row r="70" spans="1:9" x14ac:dyDescent="0.25">
      <c r="A70" t="s">
        <v>34</v>
      </c>
      <c r="B70" t="s">
        <v>31</v>
      </c>
      <c r="C70">
        <v>29</v>
      </c>
      <c r="D70">
        <v>5</v>
      </c>
      <c r="E70">
        <v>7.17</v>
      </c>
      <c r="F70">
        <v>2</v>
      </c>
      <c r="G70" t="s">
        <v>32</v>
      </c>
      <c r="H70">
        <v>35</v>
      </c>
      <c r="I70" t="s">
        <v>29</v>
      </c>
    </row>
    <row r="71" spans="1:9" x14ac:dyDescent="0.25">
      <c r="A71" t="s">
        <v>30</v>
      </c>
      <c r="B71" t="s">
        <v>31</v>
      </c>
      <c r="C71">
        <v>49</v>
      </c>
      <c r="D71">
        <v>22</v>
      </c>
      <c r="E71">
        <v>31.3</v>
      </c>
      <c r="F71">
        <v>3</v>
      </c>
      <c r="G71" t="s">
        <v>32</v>
      </c>
      <c r="H71">
        <v>46</v>
      </c>
      <c r="I71" t="s">
        <v>33</v>
      </c>
    </row>
    <row r="72" spans="1:9" x14ac:dyDescent="0.25">
      <c r="A72" t="s">
        <v>36</v>
      </c>
      <c r="B72" t="s">
        <v>35</v>
      </c>
      <c r="C72">
        <v>27</v>
      </c>
      <c r="D72">
        <v>5</v>
      </c>
      <c r="E72">
        <v>15.61</v>
      </c>
      <c r="F72">
        <v>3</v>
      </c>
      <c r="G72" t="s">
        <v>32</v>
      </c>
      <c r="H72">
        <v>49</v>
      </c>
      <c r="I72" t="s">
        <v>29</v>
      </c>
    </row>
    <row r="73" spans="1:9" x14ac:dyDescent="0.25">
      <c r="A73" t="s">
        <v>30</v>
      </c>
      <c r="B73" t="s">
        <v>35</v>
      </c>
      <c r="C73">
        <v>47</v>
      </c>
      <c r="D73">
        <v>19</v>
      </c>
      <c r="E73">
        <v>27.75</v>
      </c>
      <c r="F73">
        <v>4</v>
      </c>
      <c r="G73" t="s">
        <v>28</v>
      </c>
      <c r="H73">
        <v>52</v>
      </c>
      <c r="I73" t="s">
        <v>33</v>
      </c>
    </row>
    <row r="74" spans="1:9" x14ac:dyDescent="0.25">
      <c r="A74" t="s">
        <v>30</v>
      </c>
      <c r="B74" t="s">
        <v>31</v>
      </c>
      <c r="C74">
        <v>32</v>
      </c>
      <c r="D74">
        <v>7</v>
      </c>
      <c r="E74">
        <v>18.04</v>
      </c>
      <c r="F74">
        <v>1</v>
      </c>
      <c r="G74" t="s">
        <v>32</v>
      </c>
      <c r="H74">
        <v>52</v>
      </c>
      <c r="I74" t="s">
        <v>33</v>
      </c>
    </row>
    <row r="75" spans="1:9" x14ac:dyDescent="0.25">
      <c r="A75" t="s">
        <v>26</v>
      </c>
      <c r="B75" t="s">
        <v>27</v>
      </c>
      <c r="C75">
        <v>27</v>
      </c>
      <c r="D75">
        <v>3</v>
      </c>
      <c r="E75">
        <v>12.4</v>
      </c>
      <c r="F75">
        <v>4</v>
      </c>
      <c r="G75" t="s">
        <v>28</v>
      </c>
      <c r="H75">
        <v>42</v>
      </c>
      <c r="I75" t="s">
        <v>29</v>
      </c>
    </row>
    <row r="76" spans="1:9" x14ac:dyDescent="0.25">
      <c r="A76" t="s">
        <v>30</v>
      </c>
      <c r="B76" t="s">
        <v>35</v>
      </c>
      <c r="C76">
        <v>43</v>
      </c>
      <c r="D76">
        <v>19</v>
      </c>
      <c r="E76">
        <v>28.52</v>
      </c>
      <c r="F76">
        <v>5</v>
      </c>
      <c r="G76" t="s">
        <v>28</v>
      </c>
      <c r="H76">
        <v>60</v>
      </c>
      <c r="I76" t="s">
        <v>29</v>
      </c>
    </row>
    <row r="77" spans="1:9" x14ac:dyDescent="0.25">
      <c r="A77" t="s">
        <v>34</v>
      </c>
      <c r="B77" t="s">
        <v>35</v>
      </c>
      <c r="C77">
        <v>28</v>
      </c>
      <c r="D77">
        <v>5</v>
      </c>
      <c r="E77">
        <v>9.9499999999999993</v>
      </c>
      <c r="F77">
        <v>4</v>
      </c>
      <c r="G77" t="s">
        <v>32</v>
      </c>
      <c r="H77">
        <v>40</v>
      </c>
      <c r="I77" t="s">
        <v>33</v>
      </c>
    </row>
    <row r="78" spans="1:9" x14ac:dyDescent="0.25">
      <c r="A78" t="s">
        <v>30</v>
      </c>
      <c r="B78" t="s">
        <v>31</v>
      </c>
      <c r="C78">
        <v>43</v>
      </c>
      <c r="D78">
        <v>20</v>
      </c>
      <c r="E78">
        <v>30.25</v>
      </c>
      <c r="F78">
        <v>4</v>
      </c>
      <c r="G78" t="s">
        <v>32</v>
      </c>
      <c r="H78">
        <v>43</v>
      </c>
      <c r="I78" t="s">
        <v>29</v>
      </c>
    </row>
    <row r="79" spans="1:9" x14ac:dyDescent="0.25">
      <c r="A79" t="s">
        <v>26</v>
      </c>
      <c r="B79" t="s">
        <v>27</v>
      </c>
      <c r="C79">
        <v>36</v>
      </c>
      <c r="D79">
        <v>8</v>
      </c>
      <c r="E79">
        <v>14.63</v>
      </c>
      <c r="F79">
        <v>3</v>
      </c>
      <c r="G79" t="s">
        <v>28</v>
      </c>
      <c r="H79">
        <v>44</v>
      </c>
      <c r="I79" t="s">
        <v>29</v>
      </c>
    </row>
    <row r="80" spans="1:9" x14ac:dyDescent="0.25">
      <c r="A80" t="s">
        <v>37</v>
      </c>
      <c r="B80" t="s">
        <v>38</v>
      </c>
      <c r="C80">
        <v>31</v>
      </c>
      <c r="D80">
        <v>6</v>
      </c>
      <c r="E80">
        <v>9.8800000000000008</v>
      </c>
      <c r="F80">
        <v>4</v>
      </c>
      <c r="G80" t="s">
        <v>32</v>
      </c>
      <c r="H80">
        <v>43</v>
      </c>
      <c r="I80" t="s">
        <v>29</v>
      </c>
    </row>
    <row r="81" spans="1:9" x14ac:dyDescent="0.25">
      <c r="A81" t="s">
        <v>34</v>
      </c>
      <c r="B81" t="s">
        <v>35</v>
      </c>
      <c r="C81">
        <v>26</v>
      </c>
      <c r="D81">
        <v>3</v>
      </c>
      <c r="E81">
        <v>9.76</v>
      </c>
      <c r="F81">
        <v>2</v>
      </c>
      <c r="G81" t="s">
        <v>32</v>
      </c>
      <c r="H81">
        <v>39</v>
      </c>
      <c r="I81" t="s">
        <v>29</v>
      </c>
    </row>
    <row r="82" spans="1:9" x14ac:dyDescent="0.25">
      <c r="A82" t="s">
        <v>37</v>
      </c>
      <c r="B82" t="s">
        <v>38</v>
      </c>
      <c r="C82">
        <v>24</v>
      </c>
      <c r="D82">
        <v>2</v>
      </c>
      <c r="E82">
        <v>6.86</v>
      </c>
      <c r="F82">
        <v>4</v>
      </c>
      <c r="G82" t="s">
        <v>28</v>
      </c>
      <c r="H82">
        <v>38</v>
      </c>
      <c r="I82" t="s">
        <v>33</v>
      </c>
    </row>
    <row r="83" spans="1:9" x14ac:dyDescent="0.25">
      <c r="A83" t="s">
        <v>30</v>
      </c>
      <c r="B83" t="s">
        <v>35</v>
      </c>
      <c r="C83">
        <v>34</v>
      </c>
      <c r="D83">
        <v>9</v>
      </c>
      <c r="E83">
        <v>20.8</v>
      </c>
      <c r="F83">
        <v>4</v>
      </c>
      <c r="G83" t="s">
        <v>28</v>
      </c>
      <c r="H83">
        <v>56</v>
      </c>
      <c r="I83" t="s">
        <v>29</v>
      </c>
    </row>
    <row r="84" spans="1:9" x14ac:dyDescent="0.25">
      <c r="A84" t="s">
        <v>30</v>
      </c>
      <c r="B84" t="s">
        <v>31</v>
      </c>
      <c r="C84">
        <v>30</v>
      </c>
      <c r="D84">
        <v>5</v>
      </c>
      <c r="E84">
        <v>18.5</v>
      </c>
      <c r="F84">
        <v>4</v>
      </c>
      <c r="G84" t="s">
        <v>32</v>
      </c>
      <c r="H84">
        <v>51</v>
      </c>
      <c r="I84" t="s">
        <v>33</v>
      </c>
    </row>
    <row r="85" spans="1:9" x14ac:dyDescent="0.25">
      <c r="A85" t="s">
        <v>26</v>
      </c>
      <c r="B85" t="s">
        <v>35</v>
      </c>
      <c r="C85">
        <v>30</v>
      </c>
      <c r="D85">
        <v>7</v>
      </c>
      <c r="E85">
        <v>14.92</v>
      </c>
      <c r="F85">
        <v>4</v>
      </c>
      <c r="G85" t="s">
        <v>32</v>
      </c>
      <c r="H85">
        <v>48</v>
      </c>
      <c r="I85" t="s">
        <v>29</v>
      </c>
    </row>
    <row r="86" spans="1:9" x14ac:dyDescent="0.25">
      <c r="A86" t="s">
        <v>39</v>
      </c>
      <c r="B86" t="s">
        <v>38</v>
      </c>
      <c r="C86">
        <v>30</v>
      </c>
      <c r="D86">
        <v>1</v>
      </c>
      <c r="E86">
        <v>6.82</v>
      </c>
      <c r="F86">
        <v>2</v>
      </c>
      <c r="G86" t="s">
        <v>28</v>
      </c>
      <c r="H86">
        <v>33</v>
      </c>
      <c r="I86" t="s">
        <v>33</v>
      </c>
    </row>
    <row r="87" spans="1:9" x14ac:dyDescent="0.25">
      <c r="A87" t="s">
        <v>34</v>
      </c>
      <c r="B87" t="s">
        <v>31</v>
      </c>
      <c r="C87">
        <v>31</v>
      </c>
      <c r="D87">
        <v>4</v>
      </c>
      <c r="E87">
        <v>9.7100000000000009</v>
      </c>
      <c r="F87">
        <v>4</v>
      </c>
      <c r="G87" t="s">
        <v>28</v>
      </c>
      <c r="H87">
        <v>40</v>
      </c>
      <c r="I87" t="s">
        <v>33</v>
      </c>
    </row>
    <row r="88" spans="1:9" x14ac:dyDescent="0.25">
      <c r="A88" t="s">
        <v>34</v>
      </c>
      <c r="B88" t="s">
        <v>31</v>
      </c>
      <c r="C88">
        <v>30</v>
      </c>
      <c r="D88">
        <v>7</v>
      </c>
      <c r="E88">
        <v>10.75</v>
      </c>
      <c r="F88">
        <v>4</v>
      </c>
      <c r="G88" t="s">
        <v>32</v>
      </c>
      <c r="H88">
        <v>31</v>
      </c>
      <c r="I88" t="s">
        <v>29</v>
      </c>
    </row>
    <row r="89" spans="1:9" x14ac:dyDescent="0.25">
      <c r="A89" t="s">
        <v>34</v>
      </c>
      <c r="B89" t="s">
        <v>31</v>
      </c>
      <c r="C89">
        <v>28</v>
      </c>
      <c r="D89">
        <v>1</v>
      </c>
      <c r="E89">
        <v>7.37</v>
      </c>
      <c r="F89">
        <v>4</v>
      </c>
      <c r="G89" t="s">
        <v>32</v>
      </c>
      <c r="H89">
        <v>39</v>
      </c>
      <c r="I89" t="s">
        <v>29</v>
      </c>
    </row>
    <row r="90" spans="1:9" x14ac:dyDescent="0.25">
      <c r="A90" t="s">
        <v>34</v>
      </c>
      <c r="B90" t="s">
        <v>31</v>
      </c>
      <c r="C90">
        <v>22</v>
      </c>
      <c r="D90">
        <v>0</v>
      </c>
      <c r="E90">
        <v>8.59</v>
      </c>
      <c r="F90">
        <v>2</v>
      </c>
      <c r="G90" t="s">
        <v>28</v>
      </c>
      <c r="H90">
        <v>41</v>
      </c>
      <c r="I90" t="s">
        <v>29</v>
      </c>
    </row>
    <row r="91" spans="1:9" x14ac:dyDescent="0.25">
      <c r="A91" t="s">
        <v>39</v>
      </c>
      <c r="B91" t="s">
        <v>38</v>
      </c>
      <c r="C91">
        <v>31</v>
      </c>
      <c r="D91">
        <v>6</v>
      </c>
      <c r="E91">
        <v>12.63</v>
      </c>
      <c r="F91">
        <v>4</v>
      </c>
      <c r="G91" t="s">
        <v>32</v>
      </c>
      <c r="H91">
        <v>41</v>
      </c>
      <c r="I91" t="s">
        <v>33</v>
      </c>
    </row>
    <row r="92" spans="1:9" x14ac:dyDescent="0.25">
      <c r="A92" t="s">
        <v>34</v>
      </c>
      <c r="B92" t="s">
        <v>35</v>
      </c>
      <c r="C92">
        <v>30</v>
      </c>
      <c r="D92">
        <v>3</v>
      </c>
      <c r="E92">
        <v>7.06</v>
      </c>
      <c r="F92">
        <v>2</v>
      </c>
      <c r="G92" t="s">
        <v>28</v>
      </c>
      <c r="H92">
        <v>41</v>
      </c>
      <c r="I92" t="s">
        <v>29</v>
      </c>
    </row>
    <row r="93" spans="1:9" x14ac:dyDescent="0.25">
      <c r="A93" t="s">
        <v>30</v>
      </c>
      <c r="B93" t="s">
        <v>35</v>
      </c>
      <c r="C93">
        <v>40</v>
      </c>
      <c r="D93">
        <v>12</v>
      </c>
      <c r="E93">
        <v>27.57</v>
      </c>
      <c r="F93">
        <v>3</v>
      </c>
      <c r="G93" t="s">
        <v>32</v>
      </c>
      <c r="H93">
        <v>48</v>
      </c>
      <c r="I93" t="s">
        <v>33</v>
      </c>
    </row>
    <row r="94" spans="1:9" x14ac:dyDescent="0.25">
      <c r="A94" t="s">
        <v>30</v>
      </c>
      <c r="B94" t="s">
        <v>35</v>
      </c>
      <c r="C94">
        <v>40</v>
      </c>
      <c r="D94">
        <v>13</v>
      </c>
      <c r="E94">
        <v>25.72</v>
      </c>
      <c r="F94">
        <v>1</v>
      </c>
      <c r="G94" t="s">
        <v>32</v>
      </c>
      <c r="H94">
        <v>51</v>
      </c>
      <c r="I94" t="s">
        <v>33</v>
      </c>
    </row>
    <row r="95" spans="1:9" x14ac:dyDescent="0.25">
      <c r="A95" t="s">
        <v>26</v>
      </c>
      <c r="B95" t="s">
        <v>35</v>
      </c>
      <c r="C95">
        <v>35</v>
      </c>
      <c r="D95">
        <v>6</v>
      </c>
      <c r="E95">
        <v>12.92</v>
      </c>
      <c r="F95">
        <v>5</v>
      </c>
      <c r="G95" t="s">
        <v>28</v>
      </c>
      <c r="H95">
        <v>43</v>
      </c>
      <c r="I95" t="s">
        <v>33</v>
      </c>
    </row>
    <row r="96" spans="1:9" x14ac:dyDescent="0.25">
      <c r="A96" t="s">
        <v>34</v>
      </c>
      <c r="B96" t="s">
        <v>35</v>
      </c>
      <c r="C96">
        <v>30</v>
      </c>
      <c r="D96">
        <v>5</v>
      </c>
      <c r="E96">
        <v>8.3000000000000007</v>
      </c>
      <c r="F96">
        <v>4</v>
      </c>
      <c r="G96" t="s">
        <v>32</v>
      </c>
      <c r="H96">
        <v>45</v>
      </c>
      <c r="I96" t="s">
        <v>33</v>
      </c>
    </row>
    <row r="97" spans="1:9" x14ac:dyDescent="0.25">
      <c r="A97" t="s">
        <v>36</v>
      </c>
      <c r="B97" t="s">
        <v>31</v>
      </c>
      <c r="C97">
        <v>30</v>
      </c>
      <c r="D97">
        <v>6</v>
      </c>
      <c r="E97">
        <v>15.36</v>
      </c>
      <c r="F97">
        <v>1</v>
      </c>
      <c r="G97" t="s">
        <v>32</v>
      </c>
      <c r="H97">
        <v>47</v>
      </c>
      <c r="I97" t="s">
        <v>29</v>
      </c>
    </row>
    <row r="98" spans="1:9" x14ac:dyDescent="0.25">
      <c r="A98" t="s">
        <v>26</v>
      </c>
      <c r="B98" t="s">
        <v>35</v>
      </c>
      <c r="C98">
        <v>37</v>
      </c>
      <c r="D98">
        <v>12</v>
      </c>
      <c r="E98">
        <v>17.47</v>
      </c>
      <c r="F98">
        <v>4</v>
      </c>
      <c r="G98" t="s">
        <v>32</v>
      </c>
      <c r="H98">
        <v>44</v>
      </c>
      <c r="I98" t="s">
        <v>29</v>
      </c>
    </row>
    <row r="99" spans="1:9" x14ac:dyDescent="0.25">
      <c r="A99" t="s">
        <v>30</v>
      </c>
      <c r="B99" t="s">
        <v>31</v>
      </c>
      <c r="C99">
        <v>33</v>
      </c>
      <c r="D99">
        <v>7</v>
      </c>
      <c r="E99">
        <v>20.74</v>
      </c>
      <c r="F99">
        <v>1</v>
      </c>
      <c r="G99" t="s">
        <v>32</v>
      </c>
      <c r="H99">
        <v>52</v>
      </c>
      <c r="I99" t="s">
        <v>33</v>
      </c>
    </row>
    <row r="100" spans="1:9" x14ac:dyDescent="0.25">
      <c r="A100" t="s">
        <v>37</v>
      </c>
      <c r="B100" t="s">
        <v>31</v>
      </c>
      <c r="C100">
        <v>35</v>
      </c>
      <c r="D100">
        <v>9</v>
      </c>
      <c r="E100">
        <v>12.8</v>
      </c>
      <c r="F100">
        <v>4</v>
      </c>
      <c r="G100" t="s">
        <v>28</v>
      </c>
      <c r="H100">
        <v>41</v>
      </c>
      <c r="I100" t="s">
        <v>29</v>
      </c>
    </row>
    <row r="101" spans="1:9" x14ac:dyDescent="0.25">
      <c r="A101" t="s">
        <v>30</v>
      </c>
      <c r="B101" t="s">
        <v>31</v>
      </c>
      <c r="C101">
        <v>45</v>
      </c>
      <c r="D101">
        <v>23</v>
      </c>
      <c r="E101">
        <v>32.68</v>
      </c>
      <c r="F101">
        <v>3</v>
      </c>
      <c r="G101" t="s">
        <v>32</v>
      </c>
      <c r="H101">
        <v>51</v>
      </c>
      <c r="I101" t="s">
        <v>33</v>
      </c>
    </row>
    <row r="102" spans="1:9" x14ac:dyDescent="0.25">
      <c r="A102" t="s">
        <v>30</v>
      </c>
      <c r="B102" t="s">
        <v>31</v>
      </c>
      <c r="C102">
        <v>39</v>
      </c>
      <c r="D102">
        <v>12</v>
      </c>
      <c r="E102">
        <v>25.5</v>
      </c>
      <c r="F102">
        <v>5</v>
      </c>
      <c r="G102" t="s">
        <v>8</v>
      </c>
      <c r="H102">
        <v>45</v>
      </c>
      <c r="I102" t="s">
        <v>29</v>
      </c>
    </row>
    <row r="103" spans="1:9" x14ac:dyDescent="0.25">
      <c r="A103" t="s">
        <v>34</v>
      </c>
      <c r="B103" t="s">
        <v>31</v>
      </c>
      <c r="C103">
        <v>33</v>
      </c>
      <c r="D103">
        <v>4</v>
      </c>
      <c r="E103">
        <v>8.2799999999999994</v>
      </c>
      <c r="F103">
        <v>1</v>
      </c>
      <c r="G103" t="s">
        <v>32</v>
      </c>
      <c r="H103">
        <v>40</v>
      </c>
      <c r="I103" t="s">
        <v>33</v>
      </c>
    </row>
    <row r="104" spans="1:9" x14ac:dyDescent="0.25">
      <c r="A104" t="s">
        <v>26</v>
      </c>
      <c r="B104" t="s">
        <v>35</v>
      </c>
      <c r="C104">
        <v>33</v>
      </c>
      <c r="D104">
        <v>7</v>
      </c>
      <c r="E104">
        <v>16.690000000000001</v>
      </c>
      <c r="F104">
        <v>5</v>
      </c>
      <c r="G104" t="s">
        <v>28</v>
      </c>
      <c r="H104">
        <v>39</v>
      </c>
      <c r="I104" t="s">
        <v>29</v>
      </c>
    </row>
    <row r="105" spans="1:9" x14ac:dyDescent="0.25">
      <c r="A105" t="s">
        <v>34</v>
      </c>
      <c r="B105" t="s">
        <v>35</v>
      </c>
      <c r="C105">
        <v>30</v>
      </c>
      <c r="D105">
        <v>8</v>
      </c>
      <c r="E105">
        <v>10.210000000000001</v>
      </c>
      <c r="F105">
        <v>1</v>
      </c>
      <c r="G105" t="s">
        <v>32</v>
      </c>
      <c r="H105">
        <v>39</v>
      </c>
      <c r="I105" t="s">
        <v>29</v>
      </c>
    </row>
    <row r="106" spans="1:9" x14ac:dyDescent="0.25">
      <c r="A106" t="s">
        <v>39</v>
      </c>
      <c r="B106" t="s">
        <v>31</v>
      </c>
      <c r="C106">
        <v>35</v>
      </c>
      <c r="D106">
        <v>8</v>
      </c>
      <c r="E106">
        <v>10.1</v>
      </c>
      <c r="F106">
        <v>5</v>
      </c>
      <c r="G106" t="s">
        <v>28</v>
      </c>
      <c r="H106">
        <v>40</v>
      </c>
      <c r="I106" t="s">
        <v>29</v>
      </c>
    </row>
    <row r="107" spans="1:9" x14ac:dyDescent="0.25">
      <c r="A107" t="s">
        <v>34</v>
      </c>
      <c r="B107" t="s">
        <v>35</v>
      </c>
      <c r="C107">
        <v>30</v>
      </c>
      <c r="D107">
        <v>2</v>
      </c>
      <c r="E107">
        <v>6.77</v>
      </c>
      <c r="F107">
        <v>3</v>
      </c>
      <c r="G107" t="s">
        <v>32</v>
      </c>
      <c r="H107">
        <v>39</v>
      </c>
      <c r="I107" t="s">
        <v>29</v>
      </c>
    </row>
    <row r="108" spans="1:9" x14ac:dyDescent="0.25">
      <c r="A108" t="s">
        <v>34</v>
      </c>
      <c r="B108" t="s">
        <v>35</v>
      </c>
      <c r="C108">
        <v>35</v>
      </c>
      <c r="D108">
        <v>9</v>
      </c>
      <c r="E108">
        <v>11.99</v>
      </c>
      <c r="F108">
        <v>2</v>
      </c>
      <c r="G108" t="s">
        <v>32</v>
      </c>
      <c r="H108">
        <v>37</v>
      </c>
      <c r="I108" t="s">
        <v>33</v>
      </c>
    </row>
    <row r="109" spans="1:9" x14ac:dyDescent="0.25">
      <c r="A109" t="s">
        <v>34</v>
      </c>
      <c r="B109" t="s">
        <v>35</v>
      </c>
      <c r="C109">
        <v>29</v>
      </c>
      <c r="D109">
        <v>4</v>
      </c>
      <c r="E109">
        <v>7.01</v>
      </c>
      <c r="F109">
        <v>4</v>
      </c>
      <c r="G109" t="s">
        <v>28</v>
      </c>
      <c r="H109">
        <v>37</v>
      </c>
      <c r="I109" t="s">
        <v>29</v>
      </c>
    </row>
    <row r="110" spans="1:9" x14ac:dyDescent="0.25">
      <c r="A110" t="s">
        <v>39</v>
      </c>
      <c r="B110" t="s">
        <v>31</v>
      </c>
      <c r="C110">
        <v>33</v>
      </c>
      <c r="D110">
        <v>7</v>
      </c>
      <c r="E110">
        <v>13.88</v>
      </c>
      <c r="F110">
        <v>3</v>
      </c>
      <c r="G110" t="s">
        <v>32</v>
      </c>
      <c r="H110">
        <v>38</v>
      </c>
      <c r="I110" t="s">
        <v>29</v>
      </c>
    </row>
    <row r="111" spans="1:9" x14ac:dyDescent="0.25">
      <c r="A111" t="s">
        <v>26</v>
      </c>
      <c r="B111" t="s">
        <v>35</v>
      </c>
      <c r="C111">
        <v>27</v>
      </c>
      <c r="D111">
        <v>2</v>
      </c>
      <c r="E111">
        <v>11.13</v>
      </c>
      <c r="F111">
        <v>3</v>
      </c>
      <c r="G111" t="s">
        <v>32</v>
      </c>
      <c r="H111">
        <v>46</v>
      </c>
      <c r="I111" t="s">
        <v>33</v>
      </c>
    </row>
    <row r="112" spans="1:9" x14ac:dyDescent="0.25">
      <c r="A112" t="s">
        <v>37</v>
      </c>
      <c r="B112" t="s">
        <v>31</v>
      </c>
      <c r="C112">
        <v>35</v>
      </c>
      <c r="D112">
        <v>12</v>
      </c>
      <c r="E112">
        <v>15.28</v>
      </c>
      <c r="F112">
        <v>5</v>
      </c>
      <c r="G112" t="s">
        <v>28</v>
      </c>
      <c r="H112">
        <v>37</v>
      </c>
      <c r="I112" t="s">
        <v>33</v>
      </c>
    </row>
    <row r="113" spans="1:9" x14ac:dyDescent="0.25">
      <c r="A113" t="s">
        <v>39</v>
      </c>
      <c r="B113" t="s">
        <v>31</v>
      </c>
      <c r="C113">
        <v>33</v>
      </c>
      <c r="D113">
        <v>7</v>
      </c>
      <c r="E113">
        <v>10.43</v>
      </c>
      <c r="F113">
        <v>3</v>
      </c>
      <c r="G113" t="s">
        <v>28</v>
      </c>
      <c r="H113">
        <v>43</v>
      </c>
      <c r="I113" t="s">
        <v>33</v>
      </c>
    </row>
    <row r="114" spans="1:9" x14ac:dyDescent="0.25">
      <c r="A114" t="s">
        <v>37</v>
      </c>
      <c r="B114" t="s">
        <v>31</v>
      </c>
      <c r="C114">
        <v>30</v>
      </c>
      <c r="D114">
        <v>2</v>
      </c>
      <c r="E114">
        <v>7.08</v>
      </c>
      <c r="F114">
        <v>3</v>
      </c>
      <c r="G114" t="s">
        <v>28</v>
      </c>
      <c r="H114">
        <v>44</v>
      </c>
      <c r="I114" t="s">
        <v>29</v>
      </c>
    </row>
    <row r="115" spans="1:9" x14ac:dyDescent="0.25">
      <c r="A115" t="s">
        <v>26</v>
      </c>
      <c r="B115" t="s">
        <v>27</v>
      </c>
      <c r="C115">
        <v>31</v>
      </c>
      <c r="D115">
        <v>2</v>
      </c>
      <c r="E115">
        <v>8.6199999999999992</v>
      </c>
      <c r="F115">
        <v>3</v>
      </c>
      <c r="G115" t="s">
        <v>28</v>
      </c>
      <c r="H115">
        <v>50</v>
      </c>
      <c r="I115" t="s">
        <v>33</v>
      </c>
    </row>
    <row r="116" spans="1:9" x14ac:dyDescent="0.25">
      <c r="A116" t="s">
        <v>39</v>
      </c>
      <c r="B116" t="s">
        <v>31</v>
      </c>
      <c r="C116">
        <v>28</v>
      </c>
      <c r="D116">
        <v>4</v>
      </c>
      <c r="E116">
        <v>8.39</v>
      </c>
      <c r="F116">
        <v>1</v>
      </c>
      <c r="G116" t="s">
        <v>32</v>
      </c>
      <c r="H116">
        <v>43</v>
      </c>
      <c r="I116" t="s">
        <v>29</v>
      </c>
    </row>
    <row r="117" spans="1:9" x14ac:dyDescent="0.25">
      <c r="A117" t="s">
        <v>37</v>
      </c>
      <c r="B117" t="s">
        <v>38</v>
      </c>
      <c r="C117">
        <v>23</v>
      </c>
      <c r="D117">
        <v>1</v>
      </c>
      <c r="E117">
        <v>5.46</v>
      </c>
      <c r="F117">
        <v>1</v>
      </c>
      <c r="G117" t="s">
        <v>32</v>
      </c>
      <c r="H117">
        <v>37</v>
      </c>
      <c r="I117" t="s">
        <v>33</v>
      </c>
    </row>
    <row r="118" spans="1:9" x14ac:dyDescent="0.25">
      <c r="A118" t="s">
        <v>34</v>
      </c>
      <c r="B118" t="s">
        <v>31</v>
      </c>
      <c r="C118">
        <v>29</v>
      </c>
      <c r="D118">
        <v>0</v>
      </c>
      <c r="E118">
        <v>4.6500000000000004</v>
      </c>
      <c r="F118">
        <v>4</v>
      </c>
      <c r="G118" t="s">
        <v>28</v>
      </c>
      <c r="H118">
        <v>30</v>
      </c>
      <c r="I118" t="s">
        <v>29</v>
      </c>
    </row>
    <row r="119" spans="1:9" x14ac:dyDescent="0.25">
      <c r="A119" t="s">
        <v>36</v>
      </c>
      <c r="B119" t="s">
        <v>31</v>
      </c>
      <c r="C119">
        <v>28</v>
      </c>
      <c r="D119">
        <v>3</v>
      </c>
      <c r="E119">
        <v>15.73</v>
      </c>
      <c r="F119">
        <v>5</v>
      </c>
      <c r="G119" t="s">
        <v>32</v>
      </c>
      <c r="H119">
        <v>41</v>
      </c>
      <c r="I119" t="s">
        <v>29</v>
      </c>
    </row>
    <row r="120" spans="1:9" x14ac:dyDescent="0.25">
      <c r="A120" t="s">
        <v>37</v>
      </c>
      <c r="B120" t="s">
        <v>31</v>
      </c>
      <c r="C120">
        <v>31</v>
      </c>
      <c r="D120">
        <v>9</v>
      </c>
      <c r="E120">
        <v>10.41</v>
      </c>
      <c r="F120">
        <v>2</v>
      </c>
      <c r="G120" t="s">
        <v>32</v>
      </c>
      <c r="H120">
        <v>46</v>
      </c>
      <c r="I120" t="s">
        <v>33</v>
      </c>
    </row>
    <row r="121" spans="1:9" x14ac:dyDescent="0.25">
      <c r="A121" t="s">
        <v>26</v>
      </c>
      <c r="B121" t="s">
        <v>35</v>
      </c>
      <c r="C121">
        <v>36</v>
      </c>
      <c r="D121">
        <v>11</v>
      </c>
      <c r="E121">
        <v>19.21</v>
      </c>
      <c r="F121">
        <v>4</v>
      </c>
      <c r="G121" t="s">
        <v>32</v>
      </c>
      <c r="H121">
        <v>49</v>
      </c>
      <c r="I121" t="s">
        <v>29</v>
      </c>
    </row>
    <row r="122" spans="1:9" x14ac:dyDescent="0.25">
      <c r="A122" t="s">
        <v>34</v>
      </c>
      <c r="B122" t="s">
        <v>35</v>
      </c>
      <c r="C122">
        <v>36</v>
      </c>
      <c r="D122">
        <v>9</v>
      </c>
      <c r="E122">
        <v>11.52</v>
      </c>
      <c r="F122">
        <v>3</v>
      </c>
      <c r="G122" t="s">
        <v>32</v>
      </c>
      <c r="H122">
        <v>44</v>
      </c>
      <c r="I122" t="s">
        <v>33</v>
      </c>
    </row>
    <row r="123" spans="1:9" x14ac:dyDescent="0.25">
      <c r="A123" t="s">
        <v>37</v>
      </c>
      <c r="B123" t="s">
        <v>38</v>
      </c>
      <c r="C123">
        <v>33</v>
      </c>
      <c r="D123">
        <v>4</v>
      </c>
      <c r="E123">
        <v>8.15</v>
      </c>
      <c r="F123">
        <v>3</v>
      </c>
      <c r="G123" t="s">
        <v>32</v>
      </c>
      <c r="H123">
        <v>35</v>
      </c>
      <c r="I123" t="s">
        <v>29</v>
      </c>
    </row>
    <row r="124" spans="1:9" x14ac:dyDescent="0.25">
      <c r="A124" t="s">
        <v>36</v>
      </c>
      <c r="B124" t="s">
        <v>31</v>
      </c>
      <c r="C124">
        <v>39</v>
      </c>
      <c r="D124">
        <v>13</v>
      </c>
      <c r="E124">
        <v>20.02</v>
      </c>
      <c r="F124">
        <v>3</v>
      </c>
      <c r="G124" t="s">
        <v>32</v>
      </c>
      <c r="H124">
        <v>43</v>
      </c>
      <c r="I124" t="s">
        <v>33</v>
      </c>
    </row>
    <row r="125" spans="1:9" x14ac:dyDescent="0.25">
      <c r="A125" t="s">
        <v>26</v>
      </c>
      <c r="B125" t="s">
        <v>27</v>
      </c>
      <c r="C125">
        <v>38</v>
      </c>
      <c r="D125">
        <v>9</v>
      </c>
      <c r="E125">
        <v>14.76</v>
      </c>
      <c r="F125">
        <v>5</v>
      </c>
      <c r="G125" t="s">
        <v>32</v>
      </c>
      <c r="H125">
        <v>42</v>
      </c>
      <c r="I125" t="s">
        <v>29</v>
      </c>
    </row>
    <row r="126" spans="1:9" x14ac:dyDescent="0.25">
      <c r="A126" t="s">
        <v>26</v>
      </c>
      <c r="B126" t="s">
        <v>27</v>
      </c>
      <c r="C126">
        <v>39</v>
      </c>
      <c r="D126">
        <v>12</v>
      </c>
      <c r="E126">
        <v>19.36</v>
      </c>
      <c r="F126">
        <v>4</v>
      </c>
      <c r="G126" t="s">
        <v>28</v>
      </c>
      <c r="H126">
        <v>37</v>
      </c>
      <c r="I126" t="s">
        <v>29</v>
      </c>
    </row>
    <row r="127" spans="1:9" x14ac:dyDescent="0.25">
      <c r="A127" t="s">
        <v>26</v>
      </c>
      <c r="B127" t="s">
        <v>27</v>
      </c>
      <c r="C127">
        <v>25</v>
      </c>
      <c r="D127">
        <v>3</v>
      </c>
      <c r="E127">
        <v>11.51</v>
      </c>
      <c r="F127">
        <v>4</v>
      </c>
      <c r="G127" t="s">
        <v>28</v>
      </c>
      <c r="H127">
        <v>50</v>
      </c>
      <c r="I127" t="s">
        <v>29</v>
      </c>
    </row>
    <row r="128" spans="1:9" x14ac:dyDescent="0.25">
      <c r="A128" t="s">
        <v>34</v>
      </c>
      <c r="B128" t="s">
        <v>31</v>
      </c>
      <c r="C128">
        <v>27</v>
      </c>
      <c r="D128">
        <v>2</v>
      </c>
      <c r="E128">
        <v>7.79</v>
      </c>
      <c r="F128">
        <v>5</v>
      </c>
      <c r="G128" t="s">
        <v>32</v>
      </c>
      <c r="H128">
        <v>48</v>
      </c>
      <c r="I128" t="s">
        <v>33</v>
      </c>
    </row>
    <row r="129" spans="1:9" x14ac:dyDescent="0.25">
      <c r="A129" t="s">
        <v>30</v>
      </c>
      <c r="B129" t="s">
        <v>35</v>
      </c>
      <c r="C129">
        <v>53</v>
      </c>
      <c r="D129">
        <v>24</v>
      </c>
      <c r="E129">
        <v>31.32</v>
      </c>
      <c r="F129">
        <v>3</v>
      </c>
      <c r="G129" t="s">
        <v>32</v>
      </c>
      <c r="H129">
        <v>37</v>
      </c>
      <c r="I129" t="s">
        <v>29</v>
      </c>
    </row>
    <row r="130" spans="1:9" x14ac:dyDescent="0.25">
      <c r="A130" t="s">
        <v>26</v>
      </c>
      <c r="B130" t="s">
        <v>27</v>
      </c>
      <c r="C130">
        <v>36</v>
      </c>
      <c r="D130">
        <v>10</v>
      </c>
      <c r="E130">
        <v>18.54</v>
      </c>
      <c r="F130">
        <v>3</v>
      </c>
      <c r="G130" t="s">
        <v>28</v>
      </c>
      <c r="H130">
        <v>45</v>
      </c>
      <c r="I130" t="s">
        <v>29</v>
      </c>
    </row>
    <row r="131" spans="1:9" x14ac:dyDescent="0.25">
      <c r="A131" t="s">
        <v>30</v>
      </c>
      <c r="B131" t="s">
        <v>31</v>
      </c>
      <c r="C131">
        <v>37</v>
      </c>
      <c r="D131">
        <v>8</v>
      </c>
      <c r="E131">
        <v>19.52</v>
      </c>
      <c r="F131">
        <v>5</v>
      </c>
      <c r="G131" t="s">
        <v>32</v>
      </c>
      <c r="H131">
        <v>47</v>
      </c>
      <c r="I131" t="s">
        <v>33</v>
      </c>
    </row>
    <row r="132" spans="1:9" x14ac:dyDescent="0.25">
      <c r="A132" t="s">
        <v>26</v>
      </c>
      <c r="B132" t="s">
        <v>27</v>
      </c>
      <c r="C132">
        <v>32</v>
      </c>
      <c r="D132">
        <v>9</v>
      </c>
      <c r="E132">
        <v>14.54</v>
      </c>
      <c r="F132">
        <v>4</v>
      </c>
      <c r="G132" t="s">
        <v>32</v>
      </c>
      <c r="H132">
        <v>46</v>
      </c>
      <c r="I132" t="s">
        <v>29</v>
      </c>
    </row>
    <row r="133" spans="1:9" x14ac:dyDescent="0.25">
      <c r="A133" t="s">
        <v>26</v>
      </c>
      <c r="B133" t="s">
        <v>35</v>
      </c>
      <c r="C133">
        <v>38</v>
      </c>
      <c r="D133">
        <v>10</v>
      </c>
      <c r="E133">
        <v>18.579999999999998</v>
      </c>
      <c r="F133">
        <v>4</v>
      </c>
      <c r="G133" t="s">
        <v>32</v>
      </c>
      <c r="H133">
        <v>52</v>
      </c>
      <c r="I133" t="s">
        <v>33</v>
      </c>
    </row>
    <row r="134" spans="1:9" x14ac:dyDescent="0.25">
      <c r="A134" t="s">
        <v>34</v>
      </c>
      <c r="B134" t="s">
        <v>31</v>
      </c>
      <c r="C134">
        <v>34</v>
      </c>
      <c r="D134">
        <v>6</v>
      </c>
      <c r="E134">
        <v>9.06</v>
      </c>
      <c r="F134">
        <v>5</v>
      </c>
      <c r="G134" t="s">
        <v>32</v>
      </c>
      <c r="H134">
        <v>34</v>
      </c>
      <c r="I134" t="s">
        <v>29</v>
      </c>
    </row>
    <row r="135" spans="1:9" x14ac:dyDescent="0.25">
      <c r="A135" t="s">
        <v>39</v>
      </c>
      <c r="B135" t="s">
        <v>31</v>
      </c>
      <c r="C135">
        <v>31</v>
      </c>
      <c r="D135">
        <v>4</v>
      </c>
      <c r="E135">
        <v>8.26</v>
      </c>
      <c r="F135">
        <v>1</v>
      </c>
      <c r="G135" t="s">
        <v>28</v>
      </c>
      <c r="H135">
        <v>41</v>
      </c>
      <c r="I135" t="s">
        <v>29</v>
      </c>
    </row>
    <row r="136" spans="1:9" x14ac:dyDescent="0.25">
      <c r="A136" t="s">
        <v>34</v>
      </c>
      <c r="B136" t="s">
        <v>35</v>
      </c>
      <c r="C136">
        <v>30</v>
      </c>
      <c r="D136">
        <v>6</v>
      </c>
      <c r="E136">
        <v>10.199999999999999</v>
      </c>
      <c r="F136">
        <v>2</v>
      </c>
      <c r="G136" t="s">
        <v>28</v>
      </c>
      <c r="H136">
        <v>35</v>
      </c>
      <c r="I136" t="s">
        <v>29</v>
      </c>
    </row>
    <row r="137" spans="1:9" x14ac:dyDescent="0.25">
      <c r="A137" t="s">
        <v>26</v>
      </c>
      <c r="B137" t="s">
        <v>27</v>
      </c>
      <c r="C137">
        <v>31</v>
      </c>
      <c r="D137">
        <v>4</v>
      </c>
      <c r="E137">
        <v>13.95</v>
      </c>
      <c r="F137">
        <v>3</v>
      </c>
      <c r="G137" t="s">
        <v>32</v>
      </c>
      <c r="H137">
        <v>46</v>
      </c>
      <c r="I137" t="s">
        <v>33</v>
      </c>
    </row>
    <row r="138" spans="1:9" x14ac:dyDescent="0.25">
      <c r="A138" t="s">
        <v>30</v>
      </c>
      <c r="B138" t="s">
        <v>31</v>
      </c>
      <c r="C138">
        <v>49</v>
      </c>
      <c r="D138">
        <v>20</v>
      </c>
      <c r="E138">
        <v>29.02</v>
      </c>
      <c r="F138">
        <v>1</v>
      </c>
      <c r="G138" t="s">
        <v>32</v>
      </c>
      <c r="H138">
        <v>50</v>
      </c>
      <c r="I138" t="s">
        <v>33</v>
      </c>
    </row>
    <row r="139" spans="1:9" x14ac:dyDescent="0.25">
      <c r="A139" t="s">
        <v>34</v>
      </c>
      <c r="B139" t="s">
        <v>31</v>
      </c>
      <c r="C139">
        <v>25</v>
      </c>
      <c r="D139">
        <v>0</v>
      </c>
      <c r="E139">
        <v>8.56</v>
      </c>
      <c r="F139">
        <v>5</v>
      </c>
      <c r="G139" t="s">
        <v>32</v>
      </c>
      <c r="H139">
        <v>33</v>
      </c>
      <c r="I139" t="s">
        <v>29</v>
      </c>
    </row>
    <row r="140" spans="1:9" x14ac:dyDescent="0.25">
      <c r="A140" t="s">
        <v>36</v>
      </c>
      <c r="B140" t="s">
        <v>31</v>
      </c>
      <c r="C140">
        <v>28</v>
      </c>
      <c r="D140">
        <v>3</v>
      </c>
      <c r="E140">
        <v>13.39</v>
      </c>
      <c r="F140">
        <v>4</v>
      </c>
      <c r="G140" t="s">
        <v>32</v>
      </c>
      <c r="H140">
        <v>46</v>
      </c>
      <c r="I140" t="s">
        <v>29</v>
      </c>
    </row>
    <row r="141" spans="1:9" x14ac:dyDescent="0.25">
      <c r="A141" t="s">
        <v>34</v>
      </c>
      <c r="B141" t="s">
        <v>31</v>
      </c>
      <c r="C141">
        <v>35</v>
      </c>
      <c r="D141">
        <v>10</v>
      </c>
      <c r="E141">
        <v>11.4</v>
      </c>
      <c r="F141">
        <v>4</v>
      </c>
      <c r="G141" t="s">
        <v>32</v>
      </c>
      <c r="H141">
        <v>35</v>
      </c>
      <c r="I141" t="s">
        <v>29</v>
      </c>
    </row>
    <row r="142" spans="1:9" x14ac:dyDescent="0.25">
      <c r="A142" t="s">
        <v>30</v>
      </c>
      <c r="B142" t="s">
        <v>31</v>
      </c>
      <c r="C142">
        <v>29</v>
      </c>
      <c r="D142">
        <v>5</v>
      </c>
      <c r="E142">
        <v>19.96</v>
      </c>
      <c r="F142">
        <v>3</v>
      </c>
      <c r="G142" t="s">
        <v>28</v>
      </c>
      <c r="H142">
        <v>46</v>
      </c>
      <c r="I142" t="s">
        <v>33</v>
      </c>
    </row>
    <row r="143" spans="1:9" x14ac:dyDescent="0.25">
      <c r="A143" t="s">
        <v>34</v>
      </c>
      <c r="B143" t="s">
        <v>35</v>
      </c>
      <c r="C143">
        <v>38</v>
      </c>
      <c r="D143">
        <v>10</v>
      </c>
      <c r="E143">
        <v>12.88</v>
      </c>
      <c r="F143">
        <v>2</v>
      </c>
      <c r="G143" t="s">
        <v>32</v>
      </c>
      <c r="H143">
        <v>36</v>
      </c>
      <c r="I143" t="s">
        <v>29</v>
      </c>
    </row>
    <row r="144" spans="1:9" x14ac:dyDescent="0.25">
      <c r="A144" t="s">
        <v>37</v>
      </c>
      <c r="B144" t="s">
        <v>31</v>
      </c>
      <c r="C144">
        <v>31</v>
      </c>
      <c r="D144">
        <v>7</v>
      </c>
      <c r="E144">
        <v>11.52</v>
      </c>
      <c r="F144">
        <v>2</v>
      </c>
      <c r="G144" t="s">
        <v>28</v>
      </c>
      <c r="H144">
        <v>47</v>
      </c>
      <c r="I144" t="s">
        <v>33</v>
      </c>
    </row>
    <row r="145" spans="1:9" x14ac:dyDescent="0.25">
      <c r="A145" t="s">
        <v>36</v>
      </c>
      <c r="B145" t="s">
        <v>31</v>
      </c>
      <c r="C145">
        <v>34</v>
      </c>
      <c r="D145">
        <v>12</v>
      </c>
      <c r="E145">
        <v>20.96</v>
      </c>
      <c r="F145">
        <v>3</v>
      </c>
      <c r="G145" t="s">
        <v>28</v>
      </c>
      <c r="H145">
        <v>43</v>
      </c>
      <c r="I145" t="s">
        <v>33</v>
      </c>
    </row>
    <row r="146" spans="1:9" x14ac:dyDescent="0.25">
      <c r="A146" t="s">
        <v>30</v>
      </c>
      <c r="B146" t="s">
        <v>31</v>
      </c>
      <c r="C146">
        <v>43</v>
      </c>
      <c r="D146">
        <v>20</v>
      </c>
      <c r="E146">
        <v>31.62</v>
      </c>
      <c r="F146">
        <v>2</v>
      </c>
      <c r="G146" t="s">
        <v>28</v>
      </c>
      <c r="H146">
        <v>39</v>
      </c>
      <c r="I146" t="s">
        <v>33</v>
      </c>
    </row>
    <row r="147" spans="1:9" x14ac:dyDescent="0.25">
      <c r="A147" t="s">
        <v>34</v>
      </c>
      <c r="B147" t="s">
        <v>31</v>
      </c>
      <c r="C147">
        <v>29</v>
      </c>
      <c r="D147">
        <v>2</v>
      </c>
      <c r="E147">
        <v>7.32</v>
      </c>
      <c r="F147">
        <v>5</v>
      </c>
      <c r="G147" t="s">
        <v>32</v>
      </c>
      <c r="H147">
        <v>41</v>
      </c>
      <c r="I147" t="s">
        <v>29</v>
      </c>
    </row>
    <row r="148" spans="1:9" x14ac:dyDescent="0.25">
      <c r="A148" t="s">
        <v>39</v>
      </c>
      <c r="B148" t="s">
        <v>31</v>
      </c>
      <c r="C148">
        <v>36</v>
      </c>
      <c r="D148">
        <v>9</v>
      </c>
      <c r="E148">
        <v>8.76</v>
      </c>
      <c r="F148">
        <v>5</v>
      </c>
      <c r="G148" t="s">
        <v>28</v>
      </c>
      <c r="H148">
        <v>34</v>
      </c>
      <c r="I148" t="s">
        <v>29</v>
      </c>
    </row>
    <row r="149" spans="1:9" x14ac:dyDescent="0.25">
      <c r="A149" t="s">
        <v>30</v>
      </c>
      <c r="B149" t="s">
        <v>31</v>
      </c>
      <c r="C149">
        <v>48</v>
      </c>
      <c r="D149">
        <v>25</v>
      </c>
      <c r="E149">
        <v>32.57</v>
      </c>
      <c r="F149">
        <v>3</v>
      </c>
      <c r="G149" t="s">
        <v>28</v>
      </c>
      <c r="H149">
        <v>50</v>
      </c>
      <c r="I149" t="s">
        <v>29</v>
      </c>
    </row>
    <row r="150" spans="1:9" x14ac:dyDescent="0.25">
      <c r="A150" t="s">
        <v>26</v>
      </c>
      <c r="B150" t="s">
        <v>27</v>
      </c>
      <c r="C150">
        <v>27</v>
      </c>
      <c r="D150">
        <v>3</v>
      </c>
      <c r="E150">
        <v>10.46</v>
      </c>
      <c r="F150">
        <v>5</v>
      </c>
      <c r="G150" t="s">
        <v>28</v>
      </c>
      <c r="H150">
        <v>49</v>
      </c>
      <c r="I150" t="s">
        <v>29</v>
      </c>
    </row>
    <row r="151" spans="1:9" x14ac:dyDescent="0.25">
      <c r="A151" t="s">
        <v>36</v>
      </c>
      <c r="B151" t="s">
        <v>35</v>
      </c>
      <c r="C151">
        <v>32</v>
      </c>
      <c r="D151">
        <v>5</v>
      </c>
      <c r="E151">
        <v>15.16</v>
      </c>
      <c r="F151">
        <v>3</v>
      </c>
      <c r="G151" t="s">
        <v>32</v>
      </c>
      <c r="H151">
        <v>43</v>
      </c>
      <c r="I151" t="s">
        <v>29</v>
      </c>
    </row>
    <row r="152" spans="1:9" x14ac:dyDescent="0.25">
      <c r="A152" t="s">
        <v>34</v>
      </c>
      <c r="B152" t="s">
        <v>31</v>
      </c>
      <c r="C152">
        <v>33</v>
      </c>
      <c r="D152">
        <v>5</v>
      </c>
      <c r="E152">
        <v>10.41</v>
      </c>
      <c r="F152">
        <v>5</v>
      </c>
      <c r="G152" t="s">
        <v>28</v>
      </c>
      <c r="H152">
        <v>41</v>
      </c>
      <c r="I152" t="s">
        <v>33</v>
      </c>
    </row>
    <row r="153" spans="1:9" x14ac:dyDescent="0.25">
      <c r="A153" t="s">
        <v>37</v>
      </c>
      <c r="B153" t="s">
        <v>38</v>
      </c>
      <c r="C153">
        <v>35</v>
      </c>
      <c r="D153">
        <v>8</v>
      </c>
      <c r="E153">
        <v>13.68</v>
      </c>
      <c r="F153">
        <v>3</v>
      </c>
      <c r="G153" t="s">
        <v>8</v>
      </c>
      <c r="H153">
        <v>45</v>
      </c>
      <c r="I153" t="s">
        <v>29</v>
      </c>
    </row>
    <row r="154" spans="1:9" x14ac:dyDescent="0.25">
      <c r="A154" t="s">
        <v>34</v>
      </c>
      <c r="B154" t="s">
        <v>31</v>
      </c>
      <c r="C154">
        <v>34</v>
      </c>
      <c r="D154">
        <v>10</v>
      </c>
      <c r="E154">
        <v>11.73</v>
      </c>
      <c r="F154">
        <v>3</v>
      </c>
      <c r="G154" t="s">
        <v>32</v>
      </c>
      <c r="H154">
        <v>31</v>
      </c>
      <c r="I154" t="s">
        <v>33</v>
      </c>
    </row>
    <row r="155" spans="1:9" x14ac:dyDescent="0.25">
      <c r="A155" t="s">
        <v>36</v>
      </c>
      <c r="B155" t="s">
        <v>35</v>
      </c>
      <c r="C155">
        <v>29</v>
      </c>
      <c r="D155">
        <v>2</v>
      </c>
      <c r="E155">
        <v>12.65</v>
      </c>
      <c r="F155">
        <v>5</v>
      </c>
      <c r="G155" t="s">
        <v>32</v>
      </c>
      <c r="H155">
        <v>37</v>
      </c>
      <c r="I155" t="s">
        <v>29</v>
      </c>
    </row>
    <row r="156" spans="1:9" x14ac:dyDescent="0.25">
      <c r="A156" t="s">
        <v>34</v>
      </c>
      <c r="B156" t="s">
        <v>31</v>
      </c>
      <c r="C156">
        <v>31</v>
      </c>
      <c r="D156">
        <v>8</v>
      </c>
      <c r="E156">
        <v>9.86</v>
      </c>
      <c r="F156">
        <v>3</v>
      </c>
      <c r="G156" t="s">
        <v>28</v>
      </c>
      <c r="H156">
        <v>33</v>
      </c>
      <c r="I156" t="s">
        <v>29</v>
      </c>
    </row>
    <row r="157" spans="1:9" x14ac:dyDescent="0.25">
      <c r="A157" t="s">
        <v>30</v>
      </c>
      <c r="B157" t="s">
        <v>35</v>
      </c>
      <c r="C157">
        <v>38</v>
      </c>
      <c r="D157">
        <v>13</v>
      </c>
      <c r="E157">
        <v>26.93</v>
      </c>
      <c r="F157">
        <v>4</v>
      </c>
      <c r="G157" t="s">
        <v>32</v>
      </c>
      <c r="H157">
        <v>40</v>
      </c>
      <c r="I157" t="s">
        <v>33</v>
      </c>
    </row>
    <row r="158" spans="1:9" x14ac:dyDescent="0.25">
      <c r="A158" t="s">
        <v>39</v>
      </c>
      <c r="B158" t="s">
        <v>35</v>
      </c>
      <c r="C158">
        <v>29</v>
      </c>
      <c r="D158">
        <v>4</v>
      </c>
      <c r="E158">
        <v>8.18</v>
      </c>
      <c r="F158">
        <v>4</v>
      </c>
      <c r="G158" t="s">
        <v>28</v>
      </c>
      <c r="H158">
        <v>41</v>
      </c>
      <c r="I158" t="s">
        <v>29</v>
      </c>
    </row>
    <row r="159" spans="1:9" x14ac:dyDescent="0.25">
      <c r="A159" t="s">
        <v>39</v>
      </c>
      <c r="B159" t="s">
        <v>31</v>
      </c>
      <c r="C159">
        <v>28</v>
      </c>
      <c r="D159">
        <v>4</v>
      </c>
      <c r="E159">
        <v>6.68</v>
      </c>
      <c r="F159">
        <v>3</v>
      </c>
      <c r="G159" t="s">
        <v>28</v>
      </c>
      <c r="H159">
        <v>36</v>
      </c>
      <c r="I159" t="s">
        <v>29</v>
      </c>
    </row>
    <row r="160" spans="1:9" x14ac:dyDescent="0.25">
      <c r="A160" t="s">
        <v>34</v>
      </c>
      <c r="B160" t="s">
        <v>31</v>
      </c>
      <c r="C160">
        <v>26</v>
      </c>
      <c r="D160">
        <v>2</v>
      </c>
      <c r="E160">
        <v>9.9600000000000009</v>
      </c>
      <c r="F160">
        <v>3</v>
      </c>
      <c r="G160" t="s">
        <v>28</v>
      </c>
      <c r="H160">
        <v>42</v>
      </c>
      <c r="I160" t="s">
        <v>29</v>
      </c>
    </row>
    <row r="161" spans="1:9" x14ac:dyDescent="0.25">
      <c r="A161" t="s">
        <v>39</v>
      </c>
      <c r="B161" t="s">
        <v>31</v>
      </c>
      <c r="C161">
        <v>30</v>
      </c>
      <c r="D161">
        <v>3</v>
      </c>
      <c r="E161">
        <v>8.2899999999999991</v>
      </c>
      <c r="F161">
        <v>4</v>
      </c>
      <c r="G161" t="s">
        <v>32</v>
      </c>
      <c r="H161">
        <v>38</v>
      </c>
      <c r="I161" t="s">
        <v>33</v>
      </c>
    </row>
    <row r="162" spans="1:9" x14ac:dyDescent="0.25">
      <c r="A162" t="s">
        <v>26</v>
      </c>
      <c r="B162" t="s">
        <v>35</v>
      </c>
      <c r="C162">
        <v>32</v>
      </c>
      <c r="D162">
        <v>4</v>
      </c>
      <c r="E162">
        <v>12.74</v>
      </c>
      <c r="F162">
        <v>5</v>
      </c>
      <c r="G162" t="s">
        <v>32</v>
      </c>
      <c r="H162">
        <v>34</v>
      </c>
      <c r="I162" t="s">
        <v>29</v>
      </c>
    </row>
    <row r="163" spans="1:9" x14ac:dyDescent="0.25">
      <c r="A163" t="s">
        <v>39</v>
      </c>
      <c r="B163" t="s">
        <v>31</v>
      </c>
      <c r="C163">
        <v>37</v>
      </c>
      <c r="D163">
        <v>8</v>
      </c>
      <c r="E163">
        <v>12.77</v>
      </c>
      <c r="F163">
        <v>3</v>
      </c>
      <c r="G163" t="s">
        <v>32</v>
      </c>
      <c r="H163">
        <v>42</v>
      </c>
      <c r="I163" t="s">
        <v>29</v>
      </c>
    </row>
    <row r="164" spans="1:9" x14ac:dyDescent="0.25">
      <c r="A164" t="s">
        <v>26</v>
      </c>
      <c r="B164" t="s">
        <v>27</v>
      </c>
      <c r="C164">
        <v>39</v>
      </c>
      <c r="D164">
        <v>10</v>
      </c>
      <c r="E164">
        <v>12.89</v>
      </c>
      <c r="F164">
        <v>5</v>
      </c>
      <c r="G164" t="s">
        <v>32</v>
      </c>
      <c r="H164">
        <v>41</v>
      </c>
      <c r="I164" t="s">
        <v>33</v>
      </c>
    </row>
    <row r="165" spans="1:9" x14ac:dyDescent="0.25">
      <c r="A165" t="s">
        <v>34</v>
      </c>
      <c r="B165" t="s">
        <v>35</v>
      </c>
      <c r="C165">
        <v>36</v>
      </c>
      <c r="D165">
        <v>9</v>
      </c>
      <c r="E165">
        <v>14.06</v>
      </c>
      <c r="F165">
        <v>4</v>
      </c>
      <c r="G165" t="s">
        <v>28</v>
      </c>
      <c r="H165">
        <v>40</v>
      </c>
      <c r="I165" t="s">
        <v>33</v>
      </c>
    </row>
    <row r="166" spans="1:9" x14ac:dyDescent="0.25">
      <c r="A166" t="s">
        <v>30</v>
      </c>
      <c r="B166" t="s">
        <v>35</v>
      </c>
      <c r="C166">
        <v>47</v>
      </c>
      <c r="D166">
        <v>18</v>
      </c>
      <c r="E166">
        <v>26.68</v>
      </c>
      <c r="F166">
        <v>3</v>
      </c>
      <c r="G166" t="s">
        <v>32</v>
      </c>
      <c r="H166">
        <v>60</v>
      </c>
      <c r="I166" t="s">
        <v>33</v>
      </c>
    </row>
    <row r="167" spans="1:9" x14ac:dyDescent="0.25">
      <c r="A167" t="s">
        <v>26</v>
      </c>
      <c r="B167" t="s">
        <v>27</v>
      </c>
      <c r="C167">
        <v>31</v>
      </c>
      <c r="D167">
        <v>3</v>
      </c>
      <c r="E167">
        <v>12.68</v>
      </c>
      <c r="F167">
        <v>4</v>
      </c>
      <c r="G167" t="s">
        <v>32</v>
      </c>
      <c r="H167">
        <v>43</v>
      </c>
      <c r="I167" t="s">
        <v>29</v>
      </c>
    </row>
    <row r="168" spans="1:9" x14ac:dyDescent="0.25">
      <c r="A168" t="s">
        <v>30</v>
      </c>
      <c r="B168" t="s">
        <v>31</v>
      </c>
      <c r="C168">
        <v>37</v>
      </c>
      <c r="D168">
        <v>14</v>
      </c>
      <c r="E168">
        <v>23.52</v>
      </c>
      <c r="F168">
        <v>4</v>
      </c>
      <c r="G168" t="s">
        <v>32</v>
      </c>
      <c r="H168">
        <v>39</v>
      </c>
      <c r="I168" t="s">
        <v>33</v>
      </c>
    </row>
    <row r="169" spans="1:9" x14ac:dyDescent="0.25">
      <c r="A169" t="s">
        <v>26</v>
      </c>
      <c r="B169" t="s">
        <v>27</v>
      </c>
      <c r="C169">
        <v>29</v>
      </c>
      <c r="D169">
        <v>2</v>
      </c>
      <c r="E169">
        <v>10.91</v>
      </c>
      <c r="F169">
        <v>4</v>
      </c>
      <c r="G169" t="s">
        <v>32</v>
      </c>
      <c r="H169">
        <v>47</v>
      </c>
      <c r="I169" t="s">
        <v>29</v>
      </c>
    </row>
    <row r="170" spans="1:9" x14ac:dyDescent="0.25">
      <c r="A170" t="s">
        <v>34</v>
      </c>
      <c r="B170" t="s">
        <v>31</v>
      </c>
      <c r="C170">
        <v>31</v>
      </c>
      <c r="D170">
        <v>8</v>
      </c>
      <c r="E170">
        <v>10.44</v>
      </c>
      <c r="F170">
        <v>5</v>
      </c>
      <c r="G170" t="s">
        <v>8</v>
      </c>
      <c r="H170">
        <v>36</v>
      </c>
      <c r="I170" t="s">
        <v>29</v>
      </c>
    </row>
    <row r="171" spans="1:9" x14ac:dyDescent="0.25">
      <c r="A171" t="s">
        <v>37</v>
      </c>
      <c r="B171" t="s">
        <v>38</v>
      </c>
      <c r="C171">
        <v>29</v>
      </c>
      <c r="D171">
        <v>2</v>
      </c>
      <c r="E171">
        <v>8.23</v>
      </c>
      <c r="F171">
        <v>3</v>
      </c>
      <c r="G171" t="s">
        <v>8</v>
      </c>
      <c r="H171">
        <v>47</v>
      </c>
      <c r="I171" t="s">
        <v>33</v>
      </c>
    </row>
    <row r="172" spans="1:9" x14ac:dyDescent="0.25">
      <c r="A172" t="s">
        <v>37</v>
      </c>
      <c r="B172" t="s">
        <v>38</v>
      </c>
      <c r="C172">
        <v>33</v>
      </c>
      <c r="D172">
        <v>10</v>
      </c>
      <c r="E172">
        <v>11.53</v>
      </c>
      <c r="F172">
        <v>4</v>
      </c>
      <c r="G172" t="s">
        <v>8</v>
      </c>
      <c r="H172">
        <v>46</v>
      </c>
      <c r="I172" t="s">
        <v>29</v>
      </c>
    </row>
    <row r="173" spans="1:9" x14ac:dyDescent="0.25">
      <c r="A173" t="s">
        <v>36</v>
      </c>
      <c r="B173" t="s">
        <v>35</v>
      </c>
      <c r="C173">
        <v>32</v>
      </c>
      <c r="D173">
        <v>3</v>
      </c>
      <c r="E173">
        <v>16.850000000000001</v>
      </c>
      <c r="F173">
        <v>4</v>
      </c>
      <c r="G173" t="s">
        <v>32</v>
      </c>
      <c r="H173">
        <v>52</v>
      </c>
      <c r="I173" t="s">
        <v>33</v>
      </c>
    </row>
    <row r="174" spans="1:9" x14ac:dyDescent="0.25">
      <c r="A174" t="s">
        <v>34</v>
      </c>
      <c r="B174" t="s">
        <v>35</v>
      </c>
      <c r="C174">
        <v>37</v>
      </c>
      <c r="D174">
        <v>8</v>
      </c>
      <c r="E174">
        <v>11.53</v>
      </c>
      <c r="F174">
        <v>3</v>
      </c>
      <c r="G174" t="s">
        <v>32</v>
      </c>
      <c r="H174">
        <v>41</v>
      </c>
      <c r="I174" t="s">
        <v>29</v>
      </c>
    </row>
    <row r="175" spans="1:9" x14ac:dyDescent="0.25">
      <c r="A175" t="s">
        <v>30</v>
      </c>
      <c r="B175" t="s">
        <v>31</v>
      </c>
      <c r="C175">
        <v>35</v>
      </c>
      <c r="D175">
        <v>8</v>
      </c>
      <c r="E175">
        <v>21.14</v>
      </c>
      <c r="F175">
        <v>2</v>
      </c>
      <c r="G175" t="s">
        <v>32</v>
      </c>
      <c r="H175">
        <v>57</v>
      </c>
      <c r="I175" t="s">
        <v>29</v>
      </c>
    </row>
    <row r="176" spans="1:9" x14ac:dyDescent="0.25">
      <c r="A176" t="s">
        <v>34</v>
      </c>
      <c r="B176" t="s">
        <v>35</v>
      </c>
      <c r="C176">
        <v>26</v>
      </c>
      <c r="D176">
        <v>4</v>
      </c>
      <c r="E176">
        <v>8.3800000000000008</v>
      </c>
      <c r="F176">
        <v>4</v>
      </c>
      <c r="G176" t="s">
        <v>28</v>
      </c>
      <c r="H176">
        <v>39</v>
      </c>
      <c r="I176" t="s">
        <v>29</v>
      </c>
    </row>
    <row r="177" spans="1:9" x14ac:dyDescent="0.25">
      <c r="A177" t="s">
        <v>34</v>
      </c>
      <c r="B177" t="s">
        <v>35</v>
      </c>
      <c r="C177">
        <v>28</v>
      </c>
      <c r="D177">
        <v>0</v>
      </c>
      <c r="E177">
        <v>9.75</v>
      </c>
      <c r="F177">
        <v>2</v>
      </c>
      <c r="G177" t="s">
        <v>28</v>
      </c>
      <c r="H177">
        <v>41</v>
      </c>
      <c r="I177" t="s">
        <v>33</v>
      </c>
    </row>
    <row r="178" spans="1:9" x14ac:dyDescent="0.25">
      <c r="A178" t="s">
        <v>36</v>
      </c>
      <c r="B178" t="s">
        <v>31</v>
      </c>
      <c r="C178">
        <v>29</v>
      </c>
      <c r="D178">
        <v>6</v>
      </c>
      <c r="E178">
        <v>13.97</v>
      </c>
      <c r="F178">
        <v>3</v>
      </c>
      <c r="G178" t="s">
        <v>32</v>
      </c>
      <c r="H178">
        <v>52</v>
      </c>
      <c r="I178" t="s">
        <v>29</v>
      </c>
    </row>
    <row r="179" spans="1:9" x14ac:dyDescent="0.25">
      <c r="A179" t="s">
        <v>36</v>
      </c>
      <c r="B179" t="s">
        <v>35</v>
      </c>
      <c r="C179">
        <v>34</v>
      </c>
      <c r="D179">
        <v>9</v>
      </c>
      <c r="E179">
        <v>16.96</v>
      </c>
      <c r="F179">
        <v>3</v>
      </c>
      <c r="G179" t="s">
        <v>32</v>
      </c>
      <c r="H179">
        <v>43</v>
      </c>
      <c r="I179" t="s">
        <v>29</v>
      </c>
    </row>
    <row r="180" spans="1:9" x14ac:dyDescent="0.25">
      <c r="A180" t="s">
        <v>36</v>
      </c>
      <c r="B180" t="s">
        <v>31</v>
      </c>
      <c r="C180">
        <v>32</v>
      </c>
      <c r="D180">
        <v>9</v>
      </c>
      <c r="E180">
        <v>20.059999999999999</v>
      </c>
      <c r="F180">
        <v>4</v>
      </c>
      <c r="G180" t="s">
        <v>32</v>
      </c>
      <c r="H180">
        <v>47</v>
      </c>
      <c r="I180" t="s">
        <v>29</v>
      </c>
    </row>
    <row r="181" spans="1:9" x14ac:dyDescent="0.25">
      <c r="A181" t="s">
        <v>30</v>
      </c>
      <c r="B181" t="s">
        <v>31</v>
      </c>
      <c r="C181">
        <v>41</v>
      </c>
      <c r="D181">
        <v>16</v>
      </c>
      <c r="E181">
        <v>25.81</v>
      </c>
      <c r="F181">
        <v>4</v>
      </c>
      <c r="G181" t="s">
        <v>28</v>
      </c>
      <c r="H181">
        <v>51</v>
      </c>
      <c r="I181" t="s">
        <v>29</v>
      </c>
    </row>
    <row r="182" spans="1:9" x14ac:dyDescent="0.25">
      <c r="A182" t="s">
        <v>39</v>
      </c>
      <c r="B182" t="s">
        <v>38</v>
      </c>
      <c r="C182">
        <v>33</v>
      </c>
      <c r="D182">
        <v>4</v>
      </c>
      <c r="E182">
        <v>10.119999999999999</v>
      </c>
      <c r="F182">
        <v>4</v>
      </c>
      <c r="G182" t="s">
        <v>28</v>
      </c>
      <c r="H182">
        <v>42</v>
      </c>
      <c r="I182" t="s">
        <v>29</v>
      </c>
    </row>
    <row r="183" spans="1:9" x14ac:dyDescent="0.25">
      <c r="A183" t="s">
        <v>26</v>
      </c>
      <c r="B183" t="s">
        <v>27</v>
      </c>
      <c r="C183">
        <v>25</v>
      </c>
      <c r="D183">
        <v>3</v>
      </c>
      <c r="E183">
        <v>11.66</v>
      </c>
      <c r="F183">
        <v>3</v>
      </c>
      <c r="G183" t="s">
        <v>32</v>
      </c>
      <c r="H183">
        <v>44</v>
      </c>
      <c r="I183" t="s">
        <v>29</v>
      </c>
    </row>
    <row r="184" spans="1:9" x14ac:dyDescent="0.25">
      <c r="A184" t="s">
        <v>34</v>
      </c>
      <c r="B184" t="s">
        <v>31</v>
      </c>
      <c r="C184">
        <v>24</v>
      </c>
      <c r="D184">
        <v>0</v>
      </c>
      <c r="E184">
        <v>7.15</v>
      </c>
      <c r="F184">
        <v>4</v>
      </c>
      <c r="G184" t="s">
        <v>32</v>
      </c>
      <c r="H184">
        <v>39</v>
      </c>
      <c r="I184" t="s">
        <v>29</v>
      </c>
    </row>
    <row r="185" spans="1:9" x14ac:dyDescent="0.25">
      <c r="A185" t="s">
        <v>34</v>
      </c>
      <c r="B185" t="s">
        <v>35</v>
      </c>
      <c r="C185">
        <v>25</v>
      </c>
      <c r="D185">
        <v>1</v>
      </c>
      <c r="E185">
        <v>4.2699999999999996</v>
      </c>
      <c r="F185">
        <v>3</v>
      </c>
      <c r="G185" t="s">
        <v>32</v>
      </c>
      <c r="H185">
        <v>39</v>
      </c>
      <c r="I185" t="s">
        <v>29</v>
      </c>
    </row>
    <row r="186" spans="1:9" x14ac:dyDescent="0.25">
      <c r="A186" t="s">
        <v>34</v>
      </c>
      <c r="B186" t="s">
        <v>31</v>
      </c>
      <c r="C186">
        <v>32</v>
      </c>
      <c r="D186">
        <v>10</v>
      </c>
      <c r="E186">
        <v>13.32</v>
      </c>
      <c r="F186">
        <v>3</v>
      </c>
      <c r="G186" t="s">
        <v>32</v>
      </c>
      <c r="H186">
        <v>43</v>
      </c>
      <c r="I186" t="s">
        <v>33</v>
      </c>
    </row>
    <row r="187" spans="1:9" x14ac:dyDescent="0.25">
      <c r="A187" t="s">
        <v>34</v>
      </c>
      <c r="B187" t="s">
        <v>31</v>
      </c>
      <c r="C187">
        <v>26</v>
      </c>
      <c r="D187">
        <v>0</v>
      </c>
      <c r="E187">
        <v>4.53</v>
      </c>
      <c r="F187">
        <v>5</v>
      </c>
      <c r="G187" t="s">
        <v>32</v>
      </c>
      <c r="H187">
        <v>41</v>
      </c>
      <c r="I187" t="s">
        <v>29</v>
      </c>
    </row>
    <row r="188" spans="1:9" x14ac:dyDescent="0.25">
      <c r="A188" t="s">
        <v>34</v>
      </c>
      <c r="B188" t="s">
        <v>31</v>
      </c>
      <c r="C188">
        <v>27</v>
      </c>
      <c r="D188">
        <v>5</v>
      </c>
      <c r="E188">
        <v>10.18</v>
      </c>
      <c r="F188">
        <v>3</v>
      </c>
      <c r="G188" t="s">
        <v>28</v>
      </c>
      <c r="H188">
        <v>38</v>
      </c>
      <c r="I188" t="s">
        <v>29</v>
      </c>
    </row>
    <row r="189" spans="1:9" x14ac:dyDescent="0.25">
      <c r="A189" t="s">
        <v>39</v>
      </c>
      <c r="B189" t="s">
        <v>35</v>
      </c>
      <c r="C189">
        <v>26</v>
      </c>
      <c r="D189">
        <v>0</v>
      </c>
      <c r="E189">
        <v>5.52</v>
      </c>
      <c r="F189">
        <v>1</v>
      </c>
      <c r="G189" t="s">
        <v>28</v>
      </c>
      <c r="H189">
        <v>37</v>
      </c>
      <c r="I189" t="s">
        <v>29</v>
      </c>
    </row>
    <row r="190" spans="1:9" x14ac:dyDescent="0.25">
      <c r="A190" t="s">
        <v>37</v>
      </c>
      <c r="B190" t="s">
        <v>38</v>
      </c>
      <c r="C190">
        <v>26</v>
      </c>
      <c r="D190">
        <v>2</v>
      </c>
      <c r="E190">
        <v>6.11</v>
      </c>
      <c r="F190">
        <v>3</v>
      </c>
      <c r="G190" t="s">
        <v>8</v>
      </c>
      <c r="H190">
        <v>40</v>
      </c>
      <c r="I190" t="s">
        <v>29</v>
      </c>
    </row>
    <row r="191" spans="1:9" x14ac:dyDescent="0.25">
      <c r="A191" t="s">
        <v>39</v>
      </c>
      <c r="B191" t="s">
        <v>31</v>
      </c>
      <c r="C191">
        <v>30</v>
      </c>
      <c r="D191">
        <v>5</v>
      </c>
      <c r="E191">
        <v>10.06</v>
      </c>
      <c r="F191">
        <v>4</v>
      </c>
      <c r="G191" t="s">
        <v>32</v>
      </c>
      <c r="H191">
        <v>35</v>
      </c>
      <c r="I191" t="s">
        <v>29</v>
      </c>
    </row>
    <row r="192" spans="1:9" x14ac:dyDescent="0.25">
      <c r="A192" t="s">
        <v>30</v>
      </c>
      <c r="B192" t="s">
        <v>31</v>
      </c>
      <c r="C192">
        <v>34</v>
      </c>
      <c r="D192">
        <v>11</v>
      </c>
      <c r="E192">
        <v>24.96</v>
      </c>
      <c r="F192">
        <v>2</v>
      </c>
      <c r="G192" t="s">
        <v>32</v>
      </c>
      <c r="H192">
        <v>52</v>
      </c>
      <c r="I192" t="s">
        <v>33</v>
      </c>
    </row>
    <row r="193" spans="1:9" x14ac:dyDescent="0.25">
      <c r="A193" t="s">
        <v>26</v>
      </c>
      <c r="B193" t="s">
        <v>35</v>
      </c>
      <c r="C193">
        <v>32</v>
      </c>
      <c r="D193">
        <v>3</v>
      </c>
      <c r="E193">
        <v>10.95</v>
      </c>
      <c r="F193">
        <v>4</v>
      </c>
      <c r="G193" t="s">
        <v>28</v>
      </c>
      <c r="H193">
        <v>54</v>
      </c>
      <c r="I193" t="s">
        <v>29</v>
      </c>
    </row>
    <row r="194" spans="1:9" x14ac:dyDescent="0.25">
      <c r="A194" t="s">
        <v>34</v>
      </c>
      <c r="B194" t="s">
        <v>31</v>
      </c>
      <c r="C194">
        <v>32</v>
      </c>
      <c r="D194">
        <v>4</v>
      </c>
      <c r="E194">
        <v>8</v>
      </c>
      <c r="F194">
        <v>3</v>
      </c>
      <c r="G194" t="s">
        <v>8</v>
      </c>
      <c r="H194">
        <v>43</v>
      </c>
      <c r="I194" t="s">
        <v>29</v>
      </c>
    </row>
    <row r="195" spans="1:9" x14ac:dyDescent="0.25">
      <c r="A195" t="s">
        <v>26</v>
      </c>
      <c r="B195" t="s">
        <v>35</v>
      </c>
      <c r="C195">
        <v>26</v>
      </c>
      <c r="D195">
        <v>3</v>
      </c>
      <c r="E195">
        <v>14.23</v>
      </c>
      <c r="F195">
        <v>5</v>
      </c>
      <c r="G195" t="s">
        <v>32</v>
      </c>
      <c r="H195">
        <v>39</v>
      </c>
      <c r="I195" t="s">
        <v>29</v>
      </c>
    </row>
    <row r="196" spans="1:9" x14ac:dyDescent="0.25">
      <c r="A196" t="s">
        <v>30</v>
      </c>
      <c r="B196" t="s">
        <v>31</v>
      </c>
      <c r="C196">
        <v>35</v>
      </c>
      <c r="D196">
        <v>10</v>
      </c>
      <c r="E196">
        <v>24.15</v>
      </c>
      <c r="F196">
        <v>3</v>
      </c>
      <c r="G196" t="s">
        <v>32</v>
      </c>
      <c r="H196">
        <v>35</v>
      </c>
      <c r="I196" t="s">
        <v>29</v>
      </c>
    </row>
    <row r="197" spans="1:9" x14ac:dyDescent="0.25">
      <c r="A197" t="s">
        <v>36</v>
      </c>
      <c r="B197" t="s">
        <v>31</v>
      </c>
      <c r="C197">
        <v>26</v>
      </c>
      <c r="D197">
        <v>3</v>
      </c>
      <c r="E197">
        <v>13.06</v>
      </c>
      <c r="F197">
        <v>4</v>
      </c>
      <c r="G197" t="s">
        <v>32</v>
      </c>
      <c r="H197">
        <v>48</v>
      </c>
      <c r="I197" t="s">
        <v>33</v>
      </c>
    </row>
    <row r="198" spans="1:9" x14ac:dyDescent="0.25">
      <c r="A198" t="s">
        <v>34</v>
      </c>
      <c r="B198" t="s">
        <v>31</v>
      </c>
      <c r="C198">
        <v>38</v>
      </c>
      <c r="D198">
        <v>10</v>
      </c>
      <c r="E198">
        <v>11.26</v>
      </c>
      <c r="F198">
        <v>4</v>
      </c>
      <c r="G198" t="s">
        <v>32</v>
      </c>
      <c r="H198">
        <v>47</v>
      </c>
      <c r="I198" t="s">
        <v>29</v>
      </c>
    </row>
    <row r="199" spans="1:9" x14ac:dyDescent="0.25">
      <c r="A199" t="s">
        <v>37</v>
      </c>
      <c r="B199" t="s">
        <v>38</v>
      </c>
      <c r="C199">
        <v>33</v>
      </c>
      <c r="D199">
        <v>9</v>
      </c>
      <c r="E199">
        <v>12.28</v>
      </c>
      <c r="F199">
        <v>2</v>
      </c>
      <c r="G199" t="s">
        <v>32</v>
      </c>
      <c r="H199">
        <v>35</v>
      </c>
      <c r="I199" t="s">
        <v>29</v>
      </c>
    </row>
    <row r="200" spans="1:9" x14ac:dyDescent="0.25">
      <c r="A200" t="s">
        <v>34</v>
      </c>
      <c r="B200" t="s">
        <v>31</v>
      </c>
      <c r="C200">
        <v>23</v>
      </c>
      <c r="D200">
        <v>0</v>
      </c>
      <c r="E200">
        <v>5</v>
      </c>
      <c r="F200">
        <v>4</v>
      </c>
      <c r="G200" t="s">
        <v>32</v>
      </c>
      <c r="H200">
        <v>36</v>
      </c>
      <c r="I200" t="s">
        <v>29</v>
      </c>
    </row>
    <row r="201" spans="1:9" x14ac:dyDescent="0.25">
      <c r="A201" t="s">
        <v>30</v>
      </c>
      <c r="B201" t="s">
        <v>31</v>
      </c>
      <c r="C201">
        <v>34</v>
      </c>
      <c r="D201">
        <v>7</v>
      </c>
      <c r="E201">
        <v>19.88</v>
      </c>
      <c r="F201">
        <v>2</v>
      </c>
      <c r="G201" t="s">
        <v>32</v>
      </c>
      <c r="H201">
        <v>60</v>
      </c>
      <c r="I201" t="s">
        <v>29</v>
      </c>
    </row>
    <row r="202" spans="1:9" x14ac:dyDescent="0.25">
      <c r="A202" t="s">
        <v>26</v>
      </c>
      <c r="B202" t="s">
        <v>27</v>
      </c>
      <c r="C202">
        <v>30</v>
      </c>
      <c r="D202">
        <v>8</v>
      </c>
      <c r="E202">
        <v>18.48</v>
      </c>
      <c r="F202">
        <v>4</v>
      </c>
      <c r="G202" t="s">
        <v>28</v>
      </c>
      <c r="H202">
        <v>35</v>
      </c>
      <c r="I202" t="s">
        <v>33</v>
      </c>
    </row>
    <row r="203" spans="1:9" x14ac:dyDescent="0.25">
      <c r="A203" t="s">
        <v>34</v>
      </c>
      <c r="B203" t="s">
        <v>35</v>
      </c>
      <c r="C203">
        <v>37</v>
      </c>
      <c r="D203">
        <v>8</v>
      </c>
      <c r="E203">
        <v>12.01</v>
      </c>
      <c r="F203">
        <v>4</v>
      </c>
      <c r="G203" t="s">
        <v>32</v>
      </c>
      <c r="H203">
        <v>43</v>
      </c>
      <c r="I203" t="s">
        <v>29</v>
      </c>
    </row>
    <row r="204" spans="1:9" x14ac:dyDescent="0.25">
      <c r="A204" t="s">
        <v>30</v>
      </c>
      <c r="B204" t="s">
        <v>35</v>
      </c>
      <c r="C204">
        <v>28</v>
      </c>
      <c r="D204">
        <v>5</v>
      </c>
      <c r="E204">
        <v>19.8</v>
      </c>
      <c r="F204">
        <v>4</v>
      </c>
      <c r="G204" t="s">
        <v>8</v>
      </c>
      <c r="H204">
        <v>55</v>
      </c>
      <c r="I204" t="s">
        <v>29</v>
      </c>
    </row>
    <row r="205" spans="1:9" x14ac:dyDescent="0.25">
      <c r="A205" t="s">
        <v>34</v>
      </c>
      <c r="B205" t="s">
        <v>31</v>
      </c>
      <c r="C205">
        <v>32</v>
      </c>
      <c r="D205">
        <v>3</v>
      </c>
      <c r="E205">
        <v>6.68</v>
      </c>
      <c r="F205">
        <v>3</v>
      </c>
      <c r="G205" t="s">
        <v>28</v>
      </c>
      <c r="H205">
        <v>48</v>
      </c>
      <c r="I205" t="s">
        <v>33</v>
      </c>
    </row>
    <row r="206" spans="1:9" x14ac:dyDescent="0.25">
      <c r="A206" t="s">
        <v>36</v>
      </c>
      <c r="B206" t="s">
        <v>31</v>
      </c>
      <c r="C206">
        <v>38</v>
      </c>
      <c r="D206">
        <v>11</v>
      </c>
      <c r="E206">
        <v>18.97</v>
      </c>
      <c r="F206">
        <v>4</v>
      </c>
      <c r="G206" t="s">
        <v>28</v>
      </c>
      <c r="H206">
        <v>51</v>
      </c>
      <c r="I206" t="s">
        <v>29</v>
      </c>
    </row>
    <row r="207" spans="1:9" x14ac:dyDescent="0.25">
      <c r="A207" t="s">
        <v>26</v>
      </c>
      <c r="B207" t="s">
        <v>35</v>
      </c>
      <c r="C207">
        <v>39</v>
      </c>
      <c r="D207">
        <v>10</v>
      </c>
      <c r="E207">
        <v>18.41</v>
      </c>
      <c r="F207">
        <v>5</v>
      </c>
      <c r="G207" t="s">
        <v>32</v>
      </c>
      <c r="H207">
        <v>42</v>
      </c>
      <c r="I207" t="s">
        <v>29</v>
      </c>
    </row>
    <row r="208" spans="1:9" x14ac:dyDescent="0.25">
      <c r="A208" t="s">
        <v>26</v>
      </c>
      <c r="B208" t="s">
        <v>27</v>
      </c>
      <c r="C208">
        <v>31</v>
      </c>
      <c r="D208">
        <v>9</v>
      </c>
      <c r="E208">
        <v>18.13</v>
      </c>
      <c r="F208">
        <v>4</v>
      </c>
      <c r="G208" t="s">
        <v>32</v>
      </c>
      <c r="H208">
        <v>45</v>
      </c>
      <c r="I208" t="s">
        <v>33</v>
      </c>
    </row>
    <row r="209" spans="1:9" x14ac:dyDescent="0.25">
      <c r="A209" t="s">
        <v>26</v>
      </c>
      <c r="B209" t="s">
        <v>35</v>
      </c>
      <c r="C209">
        <v>32</v>
      </c>
      <c r="D209">
        <v>6</v>
      </c>
      <c r="E209">
        <v>16.079999999999998</v>
      </c>
      <c r="F209">
        <v>4</v>
      </c>
      <c r="G209" t="s">
        <v>32</v>
      </c>
      <c r="H209">
        <v>41</v>
      </c>
      <c r="I209" t="s">
        <v>33</v>
      </c>
    </row>
    <row r="210" spans="1:9" x14ac:dyDescent="0.25">
      <c r="A210" t="s">
        <v>34</v>
      </c>
      <c r="B210" t="s">
        <v>35</v>
      </c>
      <c r="C210">
        <v>38</v>
      </c>
      <c r="D210">
        <v>10</v>
      </c>
      <c r="E210">
        <v>15.82</v>
      </c>
      <c r="F210">
        <v>3</v>
      </c>
      <c r="G210" t="s">
        <v>32</v>
      </c>
      <c r="H210">
        <v>33</v>
      </c>
      <c r="I210" t="s">
        <v>33</v>
      </c>
    </row>
    <row r="211" spans="1:9" x14ac:dyDescent="0.25">
      <c r="A211" t="s">
        <v>26</v>
      </c>
      <c r="B211" t="s">
        <v>35</v>
      </c>
      <c r="C211">
        <v>33</v>
      </c>
      <c r="D211">
        <v>8</v>
      </c>
      <c r="E211">
        <v>13.9</v>
      </c>
      <c r="F211">
        <v>3</v>
      </c>
      <c r="G211" t="s">
        <v>32</v>
      </c>
      <c r="H211">
        <v>42</v>
      </c>
      <c r="I211" t="s">
        <v>29</v>
      </c>
    </row>
    <row r="212" spans="1:9" x14ac:dyDescent="0.25">
      <c r="A212" t="s">
        <v>39</v>
      </c>
      <c r="B212" t="s">
        <v>31</v>
      </c>
      <c r="C212">
        <v>26</v>
      </c>
      <c r="D212">
        <v>4</v>
      </c>
      <c r="E212">
        <v>6.59</v>
      </c>
      <c r="F212">
        <v>2</v>
      </c>
      <c r="G212" t="s">
        <v>32</v>
      </c>
      <c r="H212">
        <v>39</v>
      </c>
      <c r="I212" t="s">
        <v>29</v>
      </c>
    </row>
    <row r="213" spans="1:9" x14ac:dyDescent="0.25">
      <c r="A213" t="s">
        <v>37</v>
      </c>
      <c r="B213" t="s">
        <v>38</v>
      </c>
      <c r="C213">
        <v>34</v>
      </c>
      <c r="D213">
        <v>7</v>
      </c>
      <c r="E213">
        <v>7.19</v>
      </c>
      <c r="F213">
        <v>1</v>
      </c>
      <c r="G213" t="s">
        <v>28</v>
      </c>
      <c r="H213">
        <v>34</v>
      </c>
      <c r="I213" t="s">
        <v>29</v>
      </c>
    </row>
    <row r="214" spans="1:9" x14ac:dyDescent="0.25">
      <c r="A214" t="s">
        <v>26</v>
      </c>
      <c r="B214" t="s">
        <v>35</v>
      </c>
      <c r="C214">
        <v>27</v>
      </c>
      <c r="D214">
        <v>4</v>
      </c>
      <c r="E214">
        <v>15.45</v>
      </c>
      <c r="F214">
        <v>4</v>
      </c>
      <c r="G214" t="s">
        <v>32</v>
      </c>
      <c r="H214">
        <v>42</v>
      </c>
      <c r="I214" t="s">
        <v>29</v>
      </c>
    </row>
    <row r="215" spans="1:9" x14ac:dyDescent="0.25">
      <c r="A215" t="s">
        <v>26</v>
      </c>
      <c r="B215" t="s">
        <v>35</v>
      </c>
      <c r="C215">
        <v>41</v>
      </c>
      <c r="D215">
        <v>12</v>
      </c>
      <c r="E215">
        <v>18.93</v>
      </c>
      <c r="F215">
        <v>5</v>
      </c>
      <c r="G215" t="s">
        <v>32</v>
      </c>
      <c r="H215">
        <v>40</v>
      </c>
      <c r="I215" t="s">
        <v>29</v>
      </c>
    </row>
    <row r="216" spans="1:9" x14ac:dyDescent="0.25">
      <c r="A216" t="s">
        <v>34</v>
      </c>
      <c r="B216" t="s">
        <v>31</v>
      </c>
      <c r="C216">
        <v>34</v>
      </c>
      <c r="D216">
        <v>8</v>
      </c>
      <c r="E216">
        <v>11.21</v>
      </c>
      <c r="F216">
        <v>4</v>
      </c>
      <c r="G216" t="s">
        <v>32</v>
      </c>
      <c r="H216">
        <v>31</v>
      </c>
      <c r="I216" t="s">
        <v>29</v>
      </c>
    </row>
    <row r="217" spans="1:9" x14ac:dyDescent="0.25">
      <c r="A217" t="s">
        <v>30</v>
      </c>
      <c r="B217" t="s">
        <v>35</v>
      </c>
      <c r="C217">
        <v>44</v>
      </c>
      <c r="D217">
        <v>15</v>
      </c>
      <c r="E217">
        <v>24.2</v>
      </c>
      <c r="F217">
        <v>3</v>
      </c>
      <c r="G217" t="s">
        <v>32</v>
      </c>
      <c r="H217">
        <v>50</v>
      </c>
      <c r="I217" t="s">
        <v>29</v>
      </c>
    </row>
    <row r="218" spans="1:9" x14ac:dyDescent="0.25">
      <c r="A218" t="s">
        <v>37</v>
      </c>
      <c r="B218" t="s">
        <v>38</v>
      </c>
      <c r="C218">
        <v>30</v>
      </c>
      <c r="D218">
        <v>7</v>
      </c>
      <c r="E218">
        <v>7.05</v>
      </c>
      <c r="F218">
        <v>3</v>
      </c>
      <c r="G218" t="s">
        <v>28</v>
      </c>
      <c r="H218">
        <v>40</v>
      </c>
      <c r="I218" t="s">
        <v>33</v>
      </c>
    </row>
    <row r="219" spans="1:9" x14ac:dyDescent="0.25">
      <c r="A219" t="s">
        <v>26</v>
      </c>
      <c r="B219" t="s">
        <v>35</v>
      </c>
      <c r="C219">
        <v>34</v>
      </c>
      <c r="D219">
        <v>9</v>
      </c>
      <c r="E219">
        <v>17.43</v>
      </c>
      <c r="F219">
        <v>3</v>
      </c>
      <c r="G219" t="s">
        <v>32</v>
      </c>
      <c r="H219">
        <v>45</v>
      </c>
      <c r="I219" t="s">
        <v>29</v>
      </c>
    </row>
    <row r="220" spans="1:9" x14ac:dyDescent="0.25">
      <c r="A220" t="s">
        <v>30</v>
      </c>
      <c r="B220" t="s">
        <v>31</v>
      </c>
      <c r="C220">
        <v>39</v>
      </c>
      <c r="D220">
        <v>11</v>
      </c>
      <c r="E220">
        <v>21.63</v>
      </c>
      <c r="F220">
        <v>4</v>
      </c>
      <c r="G220" t="s">
        <v>32</v>
      </c>
      <c r="H220">
        <v>42</v>
      </c>
      <c r="I220" t="s">
        <v>33</v>
      </c>
    </row>
    <row r="221" spans="1:9" x14ac:dyDescent="0.25">
      <c r="A221" t="s">
        <v>37</v>
      </c>
      <c r="B221" t="s">
        <v>38</v>
      </c>
      <c r="C221">
        <v>33</v>
      </c>
      <c r="D221">
        <v>9</v>
      </c>
      <c r="E221">
        <v>11.9</v>
      </c>
      <c r="F221">
        <v>4</v>
      </c>
      <c r="G221" t="s">
        <v>32</v>
      </c>
      <c r="H221">
        <v>45</v>
      </c>
      <c r="I221" t="s">
        <v>29</v>
      </c>
    </row>
    <row r="222" spans="1:9" x14ac:dyDescent="0.25">
      <c r="A222" t="s">
        <v>34</v>
      </c>
      <c r="B222" t="s">
        <v>35</v>
      </c>
      <c r="C222">
        <v>27</v>
      </c>
      <c r="D222">
        <v>3</v>
      </c>
      <c r="E222">
        <v>6.91</v>
      </c>
      <c r="F222">
        <v>1</v>
      </c>
      <c r="G222" t="s">
        <v>32</v>
      </c>
      <c r="H222">
        <v>43</v>
      </c>
      <c r="I222" t="s">
        <v>29</v>
      </c>
    </row>
    <row r="223" spans="1:9" x14ac:dyDescent="0.25">
      <c r="A223" t="s">
        <v>30</v>
      </c>
      <c r="B223" t="s">
        <v>35</v>
      </c>
      <c r="C223">
        <v>47</v>
      </c>
      <c r="D223">
        <v>22</v>
      </c>
      <c r="E223">
        <v>30.69</v>
      </c>
      <c r="F223">
        <v>3</v>
      </c>
      <c r="G223" t="s">
        <v>32</v>
      </c>
      <c r="H223">
        <v>54</v>
      </c>
      <c r="I223" t="s">
        <v>33</v>
      </c>
    </row>
    <row r="224" spans="1:9" x14ac:dyDescent="0.25">
      <c r="A224" t="s">
        <v>36</v>
      </c>
      <c r="B224" t="s">
        <v>31</v>
      </c>
      <c r="C224">
        <v>30</v>
      </c>
      <c r="D224">
        <v>6</v>
      </c>
      <c r="E224">
        <v>15.51</v>
      </c>
      <c r="F224">
        <v>3</v>
      </c>
      <c r="G224" t="s">
        <v>32</v>
      </c>
      <c r="H224">
        <v>48</v>
      </c>
      <c r="I224" t="s">
        <v>33</v>
      </c>
    </row>
    <row r="225" spans="1:9" x14ac:dyDescent="0.25">
      <c r="A225" t="s">
        <v>34</v>
      </c>
      <c r="B225" t="s">
        <v>35</v>
      </c>
      <c r="C225">
        <v>34</v>
      </c>
      <c r="D225">
        <v>9</v>
      </c>
      <c r="E225">
        <v>9.8000000000000007</v>
      </c>
      <c r="F225">
        <v>4</v>
      </c>
      <c r="G225" t="s">
        <v>32</v>
      </c>
      <c r="H225">
        <v>39</v>
      </c>
      <c r="I225" t="s">
        <v>29</v>
      </c>
    </row>
    <row r="226" spans="1:9" x14ac:dyDescent="0.25">
      <c r="A226" t="s">
        <v>37</v>
      </c>
      <c r="B226" t="s">
        <v>38</v>
      </c>
      <c r="C226">
        <v>33</v>
      </c>
      <c r="D226">
        <v>7</v>
      </c>
      <c r="E226">
        <v>8.4600000000000009</v>
      </c>
      <c r="F226">
        <v>4</v>
      </c>
      <c r="G226" t="s">
        <v>28</v>
      </c>
      <c r="H226">
        <v>49</v>
      </c>
      <c r="I226" t="s">
        <v>33</v>
      </c>
    </row>
    <row r="227" spans="1:9" x14ac:dyDescent="0.25">
      <c r="A227" t="s">
        <v>39</v>
      </c>
      <c r="B227" t="s">
        <v>31</v>
      </c>
      <c r="C227">
        <v>33</v>
      </c>
      <c r="D227">
        <v>9</v>
      </c>
      <c r="E227">
        <v>11.8</v>
      </c>
      <c r="F227">
        <v>1</v>
      </c>
      <c r="G227" t="s">
        <v>28</v>
      </c>
      <c r="H227">
        <v>40</v>
      </c>
      <c r="I227" t="s">
        <v>29</v>
      </c>
    </row>
    <row r="228" spans="1:9" x14ac:dyDescent="0.25">
      <c r="A228" t="s">
        <v>34</v>
      </c>
      <c r="B228" t="s">
        <v>35</v>
      </c>
      <c r="C228">
        <v>30</v>
      </c>
      <c r="D228">
        <v>2</v>
      </c>
      <c r="E228">
        <v>9.01</v>
      </c>
      <c r="F228">
        <v>2</v>
      </c>
      <c r="G228" t="s">
        <v>32</v>
      </c>
      <c r="H228">
        <v>44</v>
      </c>
      <c r="I228" t="s">
        <v>29</v>
      </c>
    </row>
    <row r="229" spans="1:9" x14ac:dyDescent="0.25">
      <c r="A229" t="s">
        <v>26</v>
      </c>
      <c r="B229" t="s">
        <v>35</v>
      </c>
      <c r="C229">
        <v>26</v>
      </c>
      <c r="D229">
        <v>1</v>
      </c>
      <c r="E229">
        <v>7.76</v>
      </c>
      <c r="F229">
        <v>5</v>
      </c>
      <c r="G229" t="s">
        <v>32</v>
      </c>
      <c r="H229">
        <v>40</v>
      </c>
      <c r="I229" t="s">
        <v>29</v>
      </c>
    </row>
    <row r="230" spans="1:9" x14ac:dyDescent="0.25">
      <c r="A230" t="s">
        <v>26</v>
      </c>
      <c r="B230" t="s">
        <v>27</v>
      </c>
      <c r="C230">
        <v>27</v>
      </c>
      <c r="D230">
        <v>5</v>
      </c>
      <c r="E230">
        <v>12.52</v>
      </c>
      <c r="F230">
        <v>5</v>
      </c>
      <c r="G230" t="s">
        <v>32</v>
      </c>
      <c r="H230">
        <v>40</v>
      </c>
      <c r="I230" t="s">
        <v>29</v>
      </c>
    </row>
    <row r="231" spans="1:9" x14ac:dyDescent="0.25">
      <c r="A231" t="s">
        <v>30</v>
      </c>
      <c r="B231" t="s">
        <v>35</v>
      </c>
      <c r="C231">
        <v>42</v>
      </c>
      <c r="D231">
        <v>20</v>
      </c>
      <c r="E231">
        <v>28.33</v>
      </c>
      <c r="F231">
        <v>1</v>
      </c>
      <c r="G231" t="s">
        <v>28</v>
      </c>
      <c r="H231">
        <v>49</v>
      </c>
      <c r="I231" t="s">
        <v>29</v>
      </c>
    </row>
    <row r="232" spans="1:9" x14ac:dyDescent="0.25">
      <c r="A232" t="s">
        <v>26</v>
      </c>
      <c r="B232" t="s">
        <v>27</v>
      </c>
      <c r="C232">
        <v>35</v>
      </c>
      <c r="D232">
        <v>12</v>
      </c>
      <c r="E232">
        <v>21.83</v>
      </c>
      <c r="F232">
        <v>3</v>
      </c>
      <c r="G232" t="s">
        <v>28</v>
      </c>
      <c r="H232">
        <v>47</v>
      </c>
      <c r="I232" t="s">
        <v>29</v>
      </c>
    </row>
    <row r="233" spans="1:9" x14ac:dyDescent="0.25">
      <c r="A233" t="s">
        <v>26</v>
      </c>
      <c r="B233" t="s">
        <v>27</v>
      </c>
      <c r="C233">
        <v>38</v>
      </c>
      <c r="D233">
        <v>10</v>
      </c>
      <c r="E233">
        <v>16.38</v>
      </c>
      <c r="F233">
        <v>5</v>
      </c>
      <c r="G233" t="s">
        <v>28</v>
      </c>
      <c r="H233">
        <v>39</v>
      </c>
      <c r="I233" t="s">
        <v>29</v>
      </c>
    </row>
    <row r="234" spans="1:9" x14ac:dyDescent="0.25">
      <c r="A234" t="s">
        <v>34</v>
      </c>
      <c r="B234" t="s">
        <v>31</v>
      </c>
      <c r="C234">
        <v>26</v>
      </c>
      <c r="D234">
        <v>3</v>
      </c>
      <c r="E234">
        <v>9.6199999999999992</v>
      </c>
      <c r="F234">
        <v>3</v>
      </c>
      <c r="G234" t="s">
        <v>8</v>
      </c>
      <c r="H234">
        <v>42</v>
      </c>
      <c r="I234" t="s">
        <v>33</v>
      </c>
    </row>
    <row r="235" spans="1:9" x14ac:dyDescent="0.25">
      <c r="A235" t="s">
        <v>30</v>
      </c>
      <c r="B235" t="s">
        <v>35</v>
      </c>
      <c r="C235">
        <v>37</v>
      </c>
      <c r="D235">
        <v>13</v>
      </c>
      <c r="E235">
        <v>25.08</v>
      </c>
      <c r="F235">
        <v>5</v>
      </c>
      <c r="G235" t="s">
        <v>28</v>
      </c>
      <c r="H235">
        <v>55</v>
      </c>
      <c r="I235" t="s">
        <v>33</v>
      </c>
    </row>
    <row r="236" spans="1:9" x14ac:dyDescent="0.25">
      <c r="A236" t="s">
        <v>34</v>
      </c>
      <c r="B236" t="s">
        <v>31</v>
      </c>
      <c r="C236">
        <v>38</v>
      </c>
      <c r="D236">
        <v>9</v>
      </c>
      <c r="E236">
        <v>11.1</v>
      </c>
      <c r="F236">
        <v>2</v>
      </c>
      <c r="G236" t="s">
        <v>32</v>
      </c>
      <c r="H236">
        <v>33</v>
      </c>
      <c r="I236" t="s">
        <v>33</v>
      </c>
    </row>
    <row r="237" spans="1:9" x14ac:dyDescent="0.25">
      <c r="A237" t="s">
        <v>39</v>
      </c>
      <c r="B237" t="s">
        <v>31</v>
      </c>
      <c r="C237">
        <v>29</v>
      </c>
      <c r="D237">
        <v>1</v>
      </c>
      <c r="E237">
        <v>9.9</v>
      </c>
      <c r="F237">
        <v>2</v>
      </c>
      <c r="G237" t="s">
        <v>28</v>
      </c>
      <c r="H237">
        <v>36</v>
      </c>
      <c r="I237" t="s">
        <v>29</v>
      </c>
    </row>
    <row r="238" spans="1:9" x14ac:dyDescent="0.25">
      <c r="A238" t="s">
        <v>36</v>
      </c>
      <c r="B238" t="s">
        <v>31</v>
      </c>
      <c r="C238">
        <v>34</v>
      </c>
      <c r="D238">
        <v>8</v>
      </c>
      <c r="E238">
        <v>16.850000000000001</v>
      </c>
      <c r="F238">
        <v>3</v>
      </c>
      <c r="G238" t="s">
        <v>32</v>
      </c>
      <c r="H238">
        <v>45</v>
      </c>
      <c r="I238" t="s">
        <v>29</v>
      </c>
    </row>
    <row r="239" spans="1:9" x14ac:dyDescent="0.25">
      <c r="A239" t="s">
        <v>34</v>
      </c>
      <c r="B239" t="s">
        <v>31</v>
      </c>
      <c r="C239">
        <v>31</v>
      </c>
      <c r="D239">
        <v>6</v>
      </c>
      <c r="E239">
        <v>12.57</v>
      </c>
      <c r="F239">
        <v>5</v>
      </c>
      <c r="G239" t="s">
        <v>32</v>
      </c>
      <c r="H239">
        <v>31</v>
      </c>
      <c r="I239" t="s">
        <v>33</v>
      </c>
    </row>
    <row r="240" spans="1:9" x14ac:dyDescent="0.25">
      <c r="A240" t="s">
        <v>30</v>
      </c>
      <c r="B240" t="s">
        <v>31</v>
      </c>
      <c r="C240">
        <v>44</v>
      </c>
      <c r="D240">
        <v>15</v>
      </c>
      <c r="E240">
        <v>26.26</v>
      </c>
      <c r="F240">
        <v>2</v>
      </c>
      <c r="G240" t="s">
        <v>32</v>
      </c>
      <c r="H240">
        <v>54</v>
      </c>
      <c r="I240" t="s">
        <v>33</v>
      </c>
    </row>
    <row r="241" spans="1:9" x14ac:dyDescent="0.25">
      <c r="A241" t="s">
        <v>39</v>
      </c>
      <c r="B241" t="s">
        <v>31</v>
      </c>
      <c r="C241">
        <v>35</v>
      </c>
      <c r="D241">
        <v>6</v>
      </c>
      <c r="E241">
        <v>12.78</v>
      </c>
      <c r="F241">
        <v>4</v>
      </c>
      <c r="G241" t="s">
        <v>28</v>
      </c>
      <c r="H241">
        <v>36</v>
      </c>
      <c r="I241" t="s">
        <v>29</v>
      </c>
    </row>
    <row r="242" spans="1:9" x14ac:dyDescent="0.25">
      <c r="A242" t="s">
        <v>30</v>
      </c>
      <c r="B242" t="s">
        <v>31</v>
      </c>
      <c r="C242">
        <v>50</v>
      </c>
      <c r="D242">
        <v>23</v>
      </c>
      <c r="E242">
        <v>29.32</v>
      </c>
      <c r="F242">
        <v>3</v>
      </c>
      <c r="G242" t="s">
        <v>28</v>
      </c>
      <c r="H242">
        <v>46</v>
      </c>
      <c r="I242" t="s">
        <v>29</v>
      </c>
    </row>
    <row r="243" spans="1:9" x14ac:dyDescent="0.25">
      <c r="A243" t="s">
        <v>26</v>
      </c>
      <c r="B243" t="s">
        <v>35</v>
      </c>
      <c r="C243">
        <v>35</v>
      </c>
      <c r="D243">
        <v>11</v>
      </c>
      <c r="E243">
        <v>18.079999999999998</v>
      </c>
      <c r="F243">
        <v>3</v>
      </c>
      <c r="G243" t="s">
        <v>32</v>
      </c>
      <c r="H243">
        <v>47</v>
      </c>
      <c r="I243" t="s">
        <v>29</v>
      </c>
    </row>
    <row r="244" spans="1:9" x14ac:dyDescent="0.25">
      <c r="A244" t="s">
        <v>37</v>
      </c>
      <c r="B244" t="s">
        <v>38</v>
      </c>
      <c r="C244">
        <v>29</v>
      </c>
      <c r="D244">
        <v>7</v>
      </c>
      <c r="E244">
        <v>10.050000000000001</v>
      </c>
      <c r="F244">
        <v>5</v>
      </c>
      <c r="G244" t="s">
        <v>28</v>
      </c>
      <c r="H244">
        <v>42</v>
      </c>
      <c r="I244" t="s">
        <v>29</v>
      </c>
    </row>
    <row r="245" spans="1:9" x14ac:dyDescent="0.25">
      <c r="A245" t="s">
        <v>34</v>
      </c>
      <c r="B245" t="s">
        <v>31</v>
      </c>
      <c r="C245">
        <v>24</v>
      </c>
      <c r="D245">
        <v>1</v>
      </c>
      <c r="E245">
        <v>11.61</v>
      </c>
      <c r="F245">
        <v>5</v>
      </c>
      <c r="G245" t="s">
        <v>32</v>
      </c>
      <c r="H245">
        <v>37</v>
      </c>
      <c r="I245" t="s">
        <v>33</v>
      </c>
    </row>
    <row r="246" spans="1:9" x14ac:dyDescent="0.25">
      <c r="A246" t="s">
        <v>34</v>
      </c>
      <c r="B246" t="s">
        <v>31</v>
      </c>
      <c r="C246">
        <v>33</v>
      </c>
      <c r="D246">
        <v>8</v>
      </c>
      <c r="E246">
        <v>11.18</v>
      </c>
      <c r="F246">
        <v>4</v>
      </c>
      <c r="G246" t="s">
        <v>32</v>
      </c>
      <c r="H246">
        <v>48</v>
      </c>
      <c r="I246" t="s">
        <v>33</v>
      </c>
    </row>
    <row r="247" spans="1:9" x14ac:dyDescent="0.25">
      <c r="A247" t="s">
        <v>34</v>
      </c>
      <c r="B247" t="s">
        <v>35</v>
      </c>
      <c r="C247">
        <v>34</v>
      </c>
      <c r="D247">
        <v>8</v>
      </c>
      <c r="E247">
        <v>13.1</v>
      </c>
      <c r="F247">
        <v>2</v>
      </c>
      <c r="G247" t="s">
        <v>32</v>
      </c>
      <c r="H247">
        <v>41</v>
      </c>
      <c r="I247" t="s">
        <v>33</v>
      </c>
    </row>
    <row r="248" spans="1:9" x14ac:dyDescent="0.25">
      <c r="A248" t="s">
        <v>34</v>
      </c>
      <c r="B248" t="s">
        <v>31</v>
      </c>
      <c r="C248">
        <v>24</v>
      </c>
      <c r="D248">
        <v>1</v>
      </c>
      <c r="E248">
        <v>3.63</v>
      </c>
      <c r="F248">
        <v>3</v>
      </c>
      <c r="G248" t="s">
        <v>32</v>
      </c>
      <c r="H248">
        <v>40</v>
      </c>
      <c r="I248" t="s">
        <v>29</v>
      </c>
    </row>
    <row r="249" spans="1:9" x14ac:dyDescent="0.25">
      <c r="A249" t="s">
        <v>37</v>
      </c>
      <c r="B249" t="s">
        <v>31</v>
      </c>
      <c r="C249">
        <v>31</v>
      </c>
      <c r="D249">
        <v>9</v>
      </c>
      <c r="E249">
        <v>9.26</v>
      </c>
      <c r="F249">
        <v>1</v>
      </c>
      <c r="G249" t="s">
        <v>28</v>
      </c>
      <c r="H249">
        <v>41</v>
      </c>
      <c r="I249" t="s">
        <v>33</v>
      </c>
    </row>
    <row r="250" spans="1:9" x14ac:dyDescent="0.25">
      <c r="A250" t="s">
        <v>39</v>
      </c>
      <c r="B250" t="s">
        <v>31</v>
      </c>
      <c r="C250">
        <v>27</v>
      </c>
      <c r="D250">
        <v>1</v>
      </c>
      <c r="E250">
        <v>7.55</v>
      </c>
      <c r="F250">
        <v>2</v>
      </c>
      <c r="G250" t="s">
        <v>28</v>
      </c>
      <c r="H250">
        <v>34</v>
      </c>
      <c r="I250" t="s">
        <v>29</v>
      </c>
    </row>
    <row r="251" spans="1:9" x14ac:dyDescent="0.25">
      <c r="A251" t="s">
        <v>26</v>
      </c>
      <c r="B251" t="s">
        <v>35</v>
      </c>
      <c r="C251">
        <v>32</v>
      </c>
      <c r="D251">
        <v>8</v>
      </c>
      <c r="E251">
        <v>12.8</v>
      </c>
      <c r="F251">
        <v>5</v>
      </c>
      <c r="G251" t="s">
        <v>32</v>
      </c>
      <c r="H251">
        <v>40</v>
      </c>
      <c r="I251" t="s">
        <v>29</v>
      </c>
    </row>
    <row r="252" spans="1:9" x14ac:dyDescent="0.25">
      <c r="A252" t="s">
        <v>34</v>
      </c>
      <c r="B252" t="s">
        <v>31</v>
      </c>
      <c r="C252">
        <v>32</v>
      </c>
      <c r="D252">
        <v>9</v>
      </c>
      <c r="E252">
        <v>11.95</v>
      </c>
      <c r="F252">
        <v>3</v>
      </c>
      <c r="G252" t="s">
        <v>32</v>
      </c>
      <c r="H252">
        <v>42</v>
      </c>
      <c r="I252" t="s">
        <v>33</v>
      </c>
    </row>
    <row r="253" spans="1:9" x14ac:dyDescent="0.25">
      <c r="A253" t="s">
        <v>30</v>
      </c>
      <c r="B253" t="s">
        <v>35</v>
      </c>
      <c r="C253">
        <v>41</v>
      </c>
      <c r="D253">
        <v>12</v>
      </c>
      <c r="E253">
        <v>25.57</v>
      </c>
      <c r="F253">
        <v>2</v>
      </c>
      <c r="G253" t="s">
        <v>32</v>
      </c>
      <c r="H253">
        <v>41</v>
      </c>
      <c r="I253" t="s">
        <v>33</v>
      </c>
    </row>
    <row r="254" spans="1:9" x14ac:dyDescent="0.25">
      <c r="A254" t="s">
        <v>34</v>
      </c>
      <c r="B254" t="s">
        <v>35</v>
      </c>
      <c r="C254">
        <v>31</v>
      </c>
      <c r="D254">
        <v>9</v>
      </c>
      <c r="E254">
        <v>14.35</v>
      </c>
      <c r="F254">
        <v>3</v>
      </c>
      <c r="G254" t="s">
        <v>28</v>
      </c>
      <c r="H254">
        <v>37</v>
      </c>
      <c r="I254" t="s">
        <v>33</v>
      </c>
    </row>
    <row r="255" spans="1:9" x14ac:dyDescent="0.25">
      <c r="A255" t="s">
        <v>26</v>
      </c>
      <c r="B255" t="s">
        <v>27</v>
      </c>
      <c r="C255">
        <v>36</v>
      </c>
      <c r="D255">
        <v>7</v>
      </c>
      <c r="E255">
        <v>14</v>
      </c>
      <c r="F255">
        <v>3</v>
      </c>
      <c r="G255" t="s">
        <v>28</v>
      </c>
      <c r="H255">
        <v>34</v>
      </c>
      <c r="I255" t="s">
        <v>29</v>
      </c>
    </row>
    <row r="256" spans="1:9" x14ac:dyDescent="0.25">
      <c r="A256" t="s">
        <v>34</v>
      </c>
      <c r="B256" t="s">
        <v>31</v>
      </c>
      <c r="C256">
        <v>28</v>
      </c>
      <c r="D256">
        <v>2</v>
      </c>
      <c r="E256">
        <v>6.8</v>
      </c>
      <c r="F256">
        <v>3</v>
      </c>
      <c r="G256" t="s">
        <v>32</v>
      </c>
      <c r="H256">
        <v>38</v>
      </c>
      <c r="I256" t="s">
        <v>33</v>
      </c>
    </row>
    <row r="257" spans="1:9" x14ac:dyDescent="0.25">
      <c r="A257" t="s">
        <v>34</v>
      </c>
      <c r="B257" t="s">
        <v>35</v>
      </c>
      <c r="C257">
        <v>23</v>
      </c>
      <c r="D257">
        <v>1</v>
      </c>
      <c r="E257">
        <v>6.28</v>
      </c>
      <c r="F257">
        <v>5</v>
      </c>
      <c r="G257" t="s">
        <v>28</v>
      </c>
      <c r="H257">
        <v>53</v>
      </c>
      <c r="I257" t="s">
        <v>29</v>
      </c>
    </row>
    <row r="258" spans="1:9" x14ac:dyDescent="0.25">
      <c r="A258" t="s">
        <v>36</v>
      </c>
      <c r="B258" t="s">
        <v>35</v>
      </c>
      <c r="C258">
        <v>28</v>
      </c>
      <c r="D258">
        <v>5</v>
      </c>
      <c r="E258">
        <v>13.21</v>
      </c>
      <c r="F258">
        <v>3</v>
      </c>
      <c r="G258" t="s">
        <v>32</v>
      </c>
      <c r="H258">
        <v>43</v>
      </c>
      <c r="I258" t="s">
        <v>33</v>
      </c>
    </row>
    <row r="259" spans="1:9" x14ac:dyDescent="0.25">
      <c r="A259" t="s">
        <v>26</v>
      </c>
      <c r="B259" t="s">
        <v>35</v>
      </c>
      <c r="C259">
        <v>26</v>
      </c>
      <c r="D259">
        <v>4</v>
      </c>
      <c r="E259">
        <v>13.52</v>
      </c>
      <c r="F259">
        <v>5</v>
      </c>
      <c r="G259" t="s">
        <v>32</v>
      </c>
      <c r="H259">
        <v>46</v>
      </c>
      <c r="I259" t="s">
        <v>33</v>
      </c>
    </row>
    <row r="260" spans="1:9" x14ac:dyDescent="0.25">
      <c r="A260" t="s">
        <v>30</v>
      </c>
      <c r="B260" t="s">
        <v>31</v>
      </c>
      <c r="C260">
        <v>44</v>
      </c>
      <c r="D260">
        <v>22</v>
      </c>
      <c r="E260">
        <v>31.63</v>
      </c>
      <c r="F260">
        <v>2</v>
      </c>
      <c r="G260" t="s">
        <v>28</v>
      </c>
      <c r="H260">
        <v>52</v>
      </c>
      <c r="I260" t="s">
        <v>33</v>
      </c>
    </row>
    <row r="261" spans="1:9" x14ac:dyDescent="0.25">
      <c r="A261" t="s">
        <v>30</v>
      </c>
      <c r="B261" t="s">
        <v>35</v>
      </c>
      <c r="C261">
        <v>48</v>
      </c>
      <c r="D261">
        <v>24</v>
      </c>
      <c r="E261">
        <v>34.28</v>
      </c>
      <c r="F261">
        <v>1</v>
      </c>
      <c r="G261" t="s">
        <v>32</v>
      </c>
      <c r="H261">
        <v>41</v>
      </c>
      <c r="I261" t="s">
        <v>33</v>
      </c>
    </row>
    <row r="262" spans="1:9" x14ac:dyDescent="0.25">
      <c r="A262" t="s">
        <v>36</v>
      </c>
      <c r="B262" t="s">
        <v>31</v>
      </c>
      <c r="C262">
        <v>37</v>
      </c>
      <c r="D262">
        <v>13</v>
      </c>
      <c r="E262">
        <v>19.62</v>
      </c>
      <c r="F262">
        <v>5</v>
      </c>
      <c r="G262" t="s">
        <v>32</v>
      </c>
      <c r="H262">
        <v>47</v>
      </c>
      <c r="I262" t="s">
        <v>33</v>
      </c>
    </row>
    <row r="263" spans="1:9" x14ac:dyDescent="0.25">
      <c r="A263" t="s">
        <v>36</v>
      </c>
      <c r="B263" t="s">
        <v>35</v>
      </c>
      <c r="C263">
        <v>30</v>
      </c>
      <c r="D263">
        <v>2</v>
      </c>
      <c r="E263">
        <v>13.68</v>
      </c>
      <c r="F263">
        <v>3</v>
      </c>
      <c r="G263" t="s">
        <v>32</v>
      </c>
      <c r="H263">
        <v>49</v>
      </c>
      <c r="I263" t="s">
        <v>29</v>
      </c>
    </row>
    <row r="264" spans="1:9" x14ac:dyDescent="0.25">
      <c r="A264" t="s">
        <v>37</v>
      </c>
      <c r="B264" t="s">
        <v>31</v>
      </c>
      <c r="C264">
        <v>36</v>
      </c>
      <c r="D264">
        <v>11</v>
      </c>
      <c r="E264">
        <v>12.42</v>
      </c>
      <c r="F264">
        <v>3</v>
      </c>
      <c r="G264" t="s">
        <v>32</v>
      </c>
      <c r="H264">
        <v>46</v>
      </c>
      <c r="I264" t="s">
        <v>29</v>
      </c>
    </row>
    <row r="265" spans="1:9" x14ac:dyDescent="0.25">
      <c r="A265" t="s">
        <v>34</v>
      </c>
      <c r="B265" t="s">
        <v>31</v>
      </c>
      <c r="C265">
        <v>30</v>
      </c>
      <c r="D265">
        <v>4</v>
      </c>
      <c r="E265">
        <v>7.67</v>
      </c>
      <c r="F265">
        <v>1</v>
      </c>
      <c r="G265" t="s">
        <v>28</v>
      </c>
      <c r="H265">
        <v>30</v>
      </c>
      <c r="I265" t="s">
        <v>29</v>
      </c>
    </row>
    <row r="266" spans="1:9" x14ac:dyDescent="0.25">
      <c r="A266" t="s">
        <v>34</v>
      </c>
      <c r="B266" t="s">
        <v>31</v>
      </c>
      <c r="C266">
        <v>32</v>
      </c>
      <c r="D266">
        <v>9</v>
      </c>
      <c r="E266">
        <v>10.86</v>
      </c>
      <c r="F266">
        <v>3</v>
      </c>
      <c r="G266" t="s">
        <v>32</v>
      </c>
      <c r="H266">
        <v>40</v>
      </c>
      <c r="I266" t="s">
        <v>33</v>
      </c>
    </row>
    <row r="267" spans="1:9" x14ac:dyDescent="0.25">
      <c r="A267" t="s">
        <v>36</v>
      </c>
      <c r="B267" t="s">
        <v>31</v>
      </c>
      <c r="C267">
        <v>37</v>
      </c>
      <c r="D267">
        <v>13</v>
      </c>
      <c r="E267">
        <v>22.74</v>
      </c>
      <c r="F267">
        <v>5</v>
      </c>
      <c r="G267" t="s">
        <v>32</v>
      </c>
      <c r="H267">
        <v>39</v>
      </c>
      <c r="I267" t="s">
        <v>33</v>
      </c>
    </row>
    <row r="268" spans="1:9" x14ac:dyDescent="0.25">
      <c r="A268" t="s">
        <v>30</v>
      </c>
      <c r="B268" t="s">
        <v>35</v>
      </c>
      <c r="C268">
        <v>44</v>
      </c>
      <c r="D268">
        <v>20</v>
      </c>
      <c r="E268">
        <v>31.36</v>
      </c>
      <c r="F268">
        <v>4</v>
      </c>
      <c r="G268" t="s">
        <v>28</v>
      </c>
      <c r="H268">
        <v>40</v>
      </c>
      <c r="I268" t="s">
        <v>33</v>
      </c>
    </row>
    <row r="269" spans="1:9" x14ac:dyDescent="0.25">
      <c r="A269" t="s">
        <v>34</v>
      </c>
      <c r="B269" t="s">
        <v>35</v>
      </c>
      <c r="C269">
        <v>28</v>
      </c>
      <c r="D269">
        <v>4</v>
      </c>
      <c r="E269">
        <v>12.57</v>
      </c>
      <c r="F269">
        <v>4</v>
      </c>
      <c r="G269" t="s">
        <v>28</v>
      </c>
      <c r="H269">
        <v>37</v>
      </c>
      <c r="I269" t="s">
        <v>33</v>
      </c>
    </row>
    <row r="270" spans="1:9" x14ac:dyDescent="0.25">
      <c r="A270" t="s">
        <v>34</v>
      </c>
      <c r="B270" t="s">
        <v>35</v>
      </c>
      <c r="C270">
        <v>35</v>
      </c>
      <c r="D270">
        <v>6</v>
      </c>
      <c r="E270">
        <v>9.32</v>
      </c>
      <c r="F270">
        <v>4</v>
      </c>
      <c r="G270" t="s">
        <v>32</v>
      </c>
      <c r="H270">
        <v>30</v>
      </c>
      <c r="I270" t="s">
        <v>33</v>
      </c>
    </row>
    <row r="271" spans="1:9" x14ac:dyDescent="0.25">
      <c r="A271" t="s">
        <v>34</v>
      </c>
      <c r="B271" t="s">
        <v>31</v>
      </c>
      <c r="C271">
        <v>26</v>
      </c>
      <c r="D271">
        <v>2</v>
      </c>
      <c r="E271">
        <v>9.7100000000000009</v>
      </c>
      <c r="F271">
        <v>5</v>
      </c>
      <c r="G271" t="s">
        <v>32</v>
      </c>
      <c r="H271">
        <v>50</v>
      </c>
      <c r="I271" t="s">
        <v>29</v>
      </c>
    </row>
    <row r="272" spans="1:9" x14ac:dyDescent="0.25">
      <c r="A272" t="s">
        <v>26</v>
      </c>
      <c r="B272" t="s">
        <v>35</v>
      </c>
      <c r="C272">
        <v>29</v>
      </c>
      <c r="D272">
        <v>1</v>
      </c>
      <c r="E272">
        <v>9.6</v>
      </c>
      <c r="F272">
        <v>2</v>
      </c>
      <c r="G272" t="s">
        <v>28</v>
      </c>
      <c r="H272">
        <v>51</v>
      </c>
      <c r="I272" t="s">
        <v>29</v>
      </c>
    </row>
    <row r="273" spans="1:9" x14ac:dyDescent="0.25">
      <c r="A273" t="s">
        <v>36</v>
      </c>
      <c r="B273" t="s">
        <v>31</v>
      </c>
      <c r="C273">
        <v>29</v>
      </c>
      <c r="D273">
        <v>7</v>
      </c>
      <c r="E273">
        <v>18.96</v>
      </c>
      <c r="F273">
        <v>2</v>
      </c>
      <c r="G273" t="s">
        <v>32</v>
      </c>
      <c r="H273">
        <v>55</v>
      </c>
      <c r="I273" t="s">
        <v>33</v>
      </c>
    </row>
    <row r="274" spans="1:9" x14ac:dyDescent="0.25">
      <c r="A274" t="s">
        <v>36</v>
      </c>
      <c r="B274" t="s">
        <v>35</v>
      </c>
      <c r="C274">
        <v>31</v>
      </c>
      <c r="D274">
        <v>2</v>
      </c>
      <c r="E274">
        <v>13.45</v>
      </c>
      <c r="F274">
        <v>4</v>
      </c>
      <c r="G274" t="s">
        <v>32</v>
      </c>
      <c r="H274">
        <v>41</v>
      </c>
      <c r="I274" t="s">
        <v>29</v>
      </c>
    </row>
    <row r="275" spans="1:9" x14ac:dyDescent="0.25">
      <c r="A275" t="s">
        <v>37</v>
      </c>
      <c r="B275" t="s">
        <v>38</v>
      </c>
      <c r="C275">
        <v>29</v>
      </c>
      <c r="D275">
        <v>3</v>
      </c>
      <c r="E275">
        <v>9.32</v>
      </c>
      <c r="F275">
        <v>3</v>
      </c>
      <c r="G275" t="s">
        <v>32</v>
      </c>
      <c r="H275">
        <v>39</v>
      </c>
      <c r="I275" t="s">
        <v>29</v>
      </c>
    </row>
    <row r="276" spans="1:9" x14ac:dyDescent="0.25">
      <c r="A276" t="s">
        <v>30</v>
      </c>
      <c r="B276" t="s">
        <v>35</v>
      </c>
      <c r="C276">
        <v>41</v>
      </c>
      <c r="D276">
        <v>17</v>
      </c>
      <c r="E276">
        <v>27.37</v>
      </c>
      <c r="F276">
        <v>4</v>
      </c>
      <c r="G276" t="s">
        <v>32</v>
      </c>
      <c r="H276">
        <v>51</v>
      </c>
      <c r="I276" t="s">
        <v>29</v>
      </c>
    </row>
    <row r="277" spans="1:9" x14ac:dyDescent="0.25">
      <c r="A277" t="s">
        <v>36</v>
      </c>
      <c r="B277" t="s">
        <v>31</v>
      </c>
      <c r="C277">
        <v>28</v>
      </c>
      <c r="D277">
        <v>2</v>
      </c>
      <c r="E277">
        <v>11.92</v>
      </c>
      <c r="F277">
        <v>1</v>
      </c>
      <c r="G277" t="s">
        <v>32</v>
      </c>
      <c r="H277">
        <v>47</v>
      </c>
      <c r="I277" t="s">
        <v>29</v>
      </c>
    </row>
    <row r="278" spans="1:9" x14ac:dyDescent="0.25">
      <c r="A278" t="s">
        <v>34</v>
      </c>
      <c r="B278" t="s">
        <v>31</v>
      </c>
      <c r="C278">
        <v>22</v>
      </c>
      <c r="D278">
        <v>0</v>
      </c>
      <c r="E278">
        <v>8.14</v>
      </c>
      <c r="F278">
        <v>5</v>
      </c>
      <c r="G278" t="s">
        <v>32</v>
      </c>
      <c r="H278">
        <v>44</v>
      </c>
      <c r="I278" t="s">
        <v>33</v>
      </c>
    </row>
    <row r="279" spans="1:9" x14ac:dyDescent="0.25">
      <c r="A279" t="s">
        <v>37</v>
      </c>
      <c r="B279" t="s">
        <v>38</v>
      </c>
      <c r="C279">
        <v>26</v>
      </c>
      <c r="D279">
        <v>1</v>
      </c>
      <c r="E279">
        <v>6.21</v>
      </c>
      <c r="F279">
        <v>3</v>
      </c>
      <c r="G279" t="s">
        <v>28</v>
      </c>
      <c r="H279">
        <v>43</v>
      </c>
      <c r="I279" t="s">
        <v>29</v>
      </c>
    </row>
    <row r="280" spans="1:9" x14ac:dyDescent="0.25">
      <c r="A280" t="s">
        <v>34</v>
      </c>
      <c r="B280" t="s">
        <v>35</v>
      </c>
      <c r="C280">
        <v>33</v>
      </c>
      <c r="D280">
        <v>7</v>
      </c>
      <c r="E280">
        <v>9.64</v>
      </c>
      <c r="F280">
        <v>3</v>
      </c>
      <c r="G280" t="s">
        <v>32</v>
      </c>
      <c r="H280">
        <v>43</v>
      </c>
      <c r="I280" t="s">
        <v>29</v>
      </c>
    </row>
    <row r="281" spans="1:9" x14ac:dyDescent="0.25">
      <c r="A281" t="s">
        <v>34</v>
      </c>
      <c r="B281" t="s">
        <v>35</v>
      </c>
      <c r="C281">
        <v>31</v>
      </c>
      <c r="D281">
        <v>2</v>
      </c>
      <c r="E281">
        <v>6.72</v>
      </c>
      <c r="F281">
        <v>4</v>
      </c>
      <c r="G281" t="s">
        <v>32</v>
      </c>
      <c r="H281">
        <v>40</v>
      </c>
      <c r="I281" t="s">
        <v>33</v>
      </c>
    </row>
    <row r="282" spans="1:9" x14ac:dyDescent="0.25">
      <c r="A282" t="s">
        <v>37</v>
      </c>
      <c r="B282" t="s">
        <v>38</v>
      </c>
      <c r="C282">
        <v>36</v>
      </c>
      <c r="D282">
        <v>7</v>
      </c>
      <c r="E282">
        <v>8.8800000000000008</v>
      </c>
      <c r="F282">
        <v>3</v>
      </c>
      <c r="G282" t="s">
        <v>32</v>
      </c>
      <c r="H282">
        <v>43</v>
      </c>
      <c r="I282" t="s">
        <v>29</v>
      </c>
    </row>
    <row r="283" spans="1:9" x14ac:dyDescent="0.25">
      <c r="A283" t="s">
        <v>34</v>
      </c>
      <c r="B283" t="s">
        <v>31</v>
      </c>
      <c r="C283">
        <v>27</v>
      </c>
      <c r="D283">
        <v>1</v>
      </c>
      <c r="E283">
        <v>7.84</v>
      </c>
      <c r="F283">
        <v>4</v>
      </c>
      <c r="G283" t="s">
        <v>32</v>
      </c>
      <c r="H283">
        <v>47</v>
      </c>
      <c r="I283" t="s">
        <v>29</v>
      </c>
    </row>
    <row r="284" spans="1:9" x14ac:dyDescent="0.25">
      <c r="A284" t="s">
        <v>26</v>
      </c>
      <c r="B284" t="s">
        <v>27</v>
      </c>
      <c r="C284">
        <v>32</v>
      </c>
      <c r="D284">
        <v>8</v>
      </c>
      <c r="E284">
        <v>13.03</v>
      </c>
      <c r="F284">
        <v>5</v>
      </c>
      <c r="G284" t="s">
        <v>32</v>
      </c>
      <c r="H284">
        <v>36</v>
      </c>
      <c r="I284" t="s">
        <v>29</v>
      </c>
    </row>
    <row r="285" spans="1:9" x14ac:dyDescent="0.25">
      <c r="A285" t="s">
        <v>34</v>
      </c>
      <c r="B285" t="s">
        <v>35</v>
      </c>
      <c r="C285">
        <v>31</v>
      </c>
      <c r="D285">
        <v>2</v>
      </c>
      <c r="E285">
        <v>7.15</v>
      </c>
      <c r="F285">
        <v>5</v>
      </c>
      <c r="G285" t="s">
        <v>32</v>
      </c>
      <c r="H285">
        <v>43</v>
      </c>
      <c r="I285" t="s">
        <v>29</v>
      </c>
    </row>
    <row r="286" spans="1:9" x14ac:dyDescent="0.25">
      <c r="A286" t="s">
        <v>34</v>
      </c>
      <c r="B286" t="s">
        <v>31</v>
      </c>
      <c r="C286">
        <v>34</v>
      </c>
      <c r="D286">
        <v>10</v>
      </c>
      <c r="E286">
        <v>12.09</v>
      </c>
      <c r="F286">
        <v>3</v>
      </c>
      <c r="G286" t="s">
        <v>32</v>
      </c>
      <c r="H286">
        <v>42</v>
      </c>
      <c r="I286" t="s">
        <v>29</v>
      </c>
    </row>
    <row r="287" spans="1:9" x14ac:dyDescent="0.25">
      <c r="A287" t="s">
        <v>34</v>
      </c>
      <c r="B287" t="s">
        <v>35</v>
      </c>
      <c r="C287">
        <v>33</v>
      </c>
      <c r="D287">
        <v>4</v>
      </c>
      <c r="E287">
        <v>8.83</v>
      </c>
      <c r="F287">
        <v>1</v>
      </c>
      <c r="G287" t="s">
        <v>28</v>
      </c>
      <c r="H287">
        <v>44</v>
      </c>
      <c r="I287" t="s">
        <v>29</v>
      </c>
    </row>
    <row r="288" spans="1:9" x14ac:dyDescent="0.25">
      <c r="A288" t="s">
        <v>34</v>
      </c>
      <c r="B288" t="s">
        <v>35</v>
      </c>
      <c r="C288">
        <v>35</v>
      </c>
      <c r="D288">
        <v>6</v>
      </c>
      <c r="E288">
        <v>8.66</v>
      </c>
      <c r="F288">
        <v>4</v>
      </c>
      <c r="G288" t="s">
        <v>32</v>
      </c>
      <c r="H288">
        <v>52</v>
      </c>
      <c r="I288" t="s">
        <v>33</v>
      </c>
    </row>
    <row r="289" spans="1:9" x14ac:dyDescent="0.25">
      <c r="A289" t="s">
        <v>30</v>
      </c>
      <c r="B289" t="s">
        <v>31</v>
      </c>
      <c r="C289">
        <v>30</v>
      </c>
      <c r="D289">
        <v>6</v>
      </c>
      <c r="E289">
        <v>18.350000000000001</v>
      </c>
      <c r="F289">
        <v>3</v>
      </c>
      <c r="G289" t="s">
        <v>28</v>
      </c>
      <c r="H289">
        <v>43</v>
      </c>
      <c r="I289" t="s">
        <v>29</v>
      </c>
    </row>
    <row r="290" spans="1:9" x14ac:dyDescent="0.25">
      <c r="A290" t="s">
        <v>34</v>
      </c>
      <c r="B290" t="s">
        <v>31</v>
      </c>
      <c r="C290">
        <v>31</v>
      </c>
      <c r="D290">
        <v>3</v>
      </c>
      <c r="E290">
        <v>5</v>
      </c>
      <c r="F290">
        <v>3</v>
      </c>
      <c r="G290" t="s">
        <v>32</v>
      </c>
      <c r="H290">
        <v>36</v>
      </c>
      <c r="I290" t="s">
        <v>29</v>
      </c>
    </row>
    <row r="291" spans="1:9" x14ac:dyDescent="0.25">
      <c r="A291" t="s">
        <v>39</v>
      </c>
      <c r="B291" t="s">
        <v>31</v>
      </c>
      <c r="C291">
        <v>27</v>
      </c>
      <c r="D291">
        <v>4</v>
      </c>
      <c r="E291">
        <v>9.11</v>
      </c>
      <c r="F291">
        <v>2</v>
      </c>
      <c r="G291" t="s">
        <v>32</v>
      </c>
      <c r="H291">
        <v>38</v>
      </c>
      <c r="I291" t="s">
        <v>29</v>
      </c>
    </row>
    <row r="292" spans="1:9" x14ac:dyDescent="0.25">
      <c r="A292" t="s">
        <v>34</v>
      </c>
      <c r="B292" t="s">
        <v>31</v>
      </c>
      <c r="C292">
        <v>26</v>
      </c>
      <c r="D292">
        <v>2</v>
      </c>
      <c r="E292">
        <v>8.2899999999999991</v>
      </c>
      <c r="F292">
        <v>3</v>
      </c>
      <c r="G292" t="s">
        <v>32</v>
      </c>
      <c r="H292">
        <v>42</v>
      </c>
      <c r="I292" t="s">
        <v>33</v>
      </c>
    </row>
    <row r="293" spans="1:9" x14ac:dyDescent="0.25">
      <c r="A293" t="s">
        <v>30</v>
      </c>
      <c r="B293" t="s">
        <v>31</v>
      </c>
      <c r="C293">
        <v>33</v>
      </c>
      <c r="D293">
        <v>6</v>
      </c>
      <c r="E293">
        <v>17.440000000000001</v>
      </c>
      <c r="F293">
        <v>4</v>
      </c>
      <c r="G293" t="s">
        <v>32</v>
      </c>
      <c r="H293">
        <v>46</v>
      </c>
      <c r="I293" t="s">
        <v>33</v>
      </c>
    </row>
    <row r="294" spans="1:9" x14ac:dyDescent="0.25">
      <c r="A294" t="s">
        <v>37</v>
      </c>
      <c r="B294" t="s">
        <v>38</v>
      </c>
      <c r="C294">
        <v>36</v>
      </c>
      <c r="D294">
        <v>12</v>
      </c>
      <c r="E294">
        <v>13.09</v>
      </c>
      <c r="F294">
        <v>3</v>
      </c>
      <c r="G294" t="s">
        <v>28</v>
      </c>
      <c r="H294">
        <v>42</v>
      </c>
      <c r="I294" t="s">
        <v>33</v>
      </c>
    </row>
    <row r="295" spans="1:9" x14ac:dyDescent="0.25">
      <c r="A295" t="s">
        <v>39</v>
      </c>
      <c r="B295" t="s">
        <v>38</v>
      </c>
      <c r="C295">
        <v>34</v>
      </c>
      <c r="D295">
        <v>8</v>
      </c>
      <c r="E295">
        <v>14.06</v>
      </c>
      <c r="F295">
        <v>1</v>
      </c>
      <c r="G295" t="s">
        <v>28</v>
      </c>
      <c r="H295">
        <v>40</v>
      </c>
      <c r="I295" t="s">
        <v>29</v>
      </c>
    </row>
    <row r="296" spans="1:9" x14ac:dyDescent="0.25">
      <c r="A296" t="s">
        <v>37</v>
      </c>
      <c r="B296" t="s">
        <v>31</v>
      </c>
      <c r="C296">
        <v>23</v>
      </c>
      <c r="D296">
        <v>0</v>
      </c>
      <c r="E296">
        <v>4.32</v>
      </c>
      <c r="F296">
        <v>4</v>
      </c>
      <c r="G296" t="s">
        <v>28</v>
      </c>
      <c r="H296">
        <v>44</v>
      </c>
      <c r="I296" t="s">
        <v>33</v>
      </c>
    </row>
    <row r="297" spans="1:9" x14ac:dyDescent="0.25">
      <c r="A297" t="s">
        <v>26</v>
      </c>
      <c r="B297" t="s">
        <v>27</v>
      </c>
      <c r="C297">
        <v>33</v>
      </c>
      <c r="D297">
        <v>8</v>
      </c>
      <c r="E297">
        <v>14.13</v>
      </c>
      <c r="F297">
        <v>5</v>
      </c>
      <c r="G297" t="s">
        <v>32</v>
      </c>
      <c r="H297">
        <v>46</v>
      </c>
      <c r="I297" t="s">
        <v>29</v>
      </c>
    </row>
    <row r="298" spans="1:9" x14ac:dyDescent="0.25">
      <c r="A298" t="s">
        <v>34</v>
      </c>
      <c r="B298" t="s">
        <v>31</v>
      </c>
      <c r="C298">
        <v>26</v>
      </c>
      <c r="D298">
        <v>4</v>
      </c>
      <c r="E298">
        <v>7.8</v>
      </c>
      <c r="F298">
        <v>4</v>
      </c>
      <c r="G298" t="s">
        <v>32</v>
      </c>
      <c r="H298">
        <v>45</v>
      </c>
      <c r="I298" t="s">
        <v>33</v>
      </c>
    </row>
    <row r="299" spans="1:9" x14ac:dyDescent="0.25">
      <c r="A299" t="s">
        <v>37</v>
      </c>
      <c r="B299" t="s">
        <v>38</v>
      </c>
      <c r="C299">
        <v>32</v>
      </c>
      <c r="D299">
        <v>10</v>
      </c>
      <c r="E299">
        <v>11.59</v>
      </c>
      <c r="F299">
        <v>2</v>
      </c>
      <c r="G299" t="s">
        <v>28</v>
      </c>
      <c r="H299">
        <v>42</v>
      </c>
      <c r="I299" t="s">
        <v>33</v>
      </c>
    </row>
    <row r="300" spans="1:9" x14ac:dyDescent="0.25">
      <c r="A300" t="s">
        <v>34</v>
      </c>
      <c r="B300" t="s">
        <v>31</v>
      </c>
      <c r="C300">
        <v>30</v>
      </c>
      <c r="D300">
        <v>4</v>
      </c>
      <c r="E300">
        <v>5.28</v>
      </c>
      <c r="F300">
        <v>4</v>
      </c>
      <c r="G300" t="s">
        <v>28</v>
      </c>
      <c r="H300">
        <v>41</v>
      </c>
      <c r="I300" t="s">
        <v>29</v>
      </c>
    </row>
    <row r="301" spans="1:9" x14ac:dyDescent="0.25">
      <c r="A301" t="s">
        <v>26</v>
      </c>
      <c r="B301" t="s">
        <v>27</v>
      </c>
      <c r="C301">
        <v>33</v>
      </c>
      <c r="D301">
        <v>6</v>
      </c>
      <c r="E301">
        <v>14.16</v>
      </c>
      <c r="F301">
        <v>3</v>
      </c>
      <c r="G301" t="s">
        <v>28</v>
      </c>
      <c r="H301">
        <v>40</v>
      </c>
      <c r="I301" t="s">
        <v>29</v>
      </c>
    </row>
    <row r="302" spans="1:9" x14ac:dyDescent="0.25">
      <c r="A302" t="s">
        <v>30</v>
      </c>
      <c r="B302" t="s">
        <v>35</v>
      </c>
      <c r="C302">
        <v>44</v>
      </c>
      <c r="D302">
        <v>15</v>
      </c>
      <c r="E302">
        <v>25.88</v>
      </c>
      <c r="F302">
        <v>4</v>
      </c>
      <c r="G302" t="s">
        <v>32</v>
      </c>
      <c r="H302">
        <v>53</v>
      </c>
      <c r="I302" t="s">
        <v>29</v>
      </c>
    </row>
    <row r="303" spans="1:9" x14ac:dyDescent="0.25">
      <c r="A303" t="s">
        <v>26</v>
      </c>
      <c r="B303" t="s">
        <v>35</v>
      </c>
      <c r="C303">
        <v>28</v>
      </c>
      <c r="D303">
        <v>6</v>
      </c>
      <c r="E303">
        <v>16.16</v>
      </c>
      <c r="F303">
        <v>3</v>
      </c>
      <c r="G303" t="s">
        <v>32</v>
      </c>
      <c r="H303">
        <v>39</v>
      </c>
      <c r="I303" t="s">
        <v>33</v>
      </c>
    </row>
    <row r="304" spans="1:9" x14ac:dyDescent="0.25">
      <c r="A304" t="s">
        <v>34</v>
      </c>
      <c r="B304" t="s">
        <v>31</v>
      </c>
      <c r="C304">
        <v>26</v>
      </c>
      <c r="D304">
        <v>3</v>
      </c>
      <c r="E304">
        <v>9.51</v>
      </c>
      <c r="F304">
        <v>4</v>
      </c>
      <c r="G304" t="s">
        <v>28</v>
      </c>
      <c r="H304">
        <v>44</v>
      </c>
      <c r="I304" t="s">
        <v>33</v>
      </c>
    </row>
    <row r="305" spans="1:9" x14ac:dyDescent="0.25">
      <c r="A305" t="s">
        <v>30</v>
      </c>
      <c r="B305" t="s">
        <v>31</v>
      </c>
      <c r="C305">
        <v>33</v>
      </c>
      <c r="D305">
        <v>10</v>
      </c>
      <c r="E305">
        <v>20.92</v>
      </c>
      <c r="F305">
        <v>5</v>
      </c>
      <c r="G305" t="s">
        <v>32</v>
      </c>
      <c r="H305">
        <v>47</v>
      </c>
      <c r="I305" t="s">
        <v>29</v>
      </c>
    </row>
    <row r="306" spans="1:9" x14ac:dyDescent="0.25">
      <c r="A306" t="s">
        <v>34</v>
      </c>
      <c r="B306" t="s">
        <v>31</v>
      </c>
      <c r="C306">
        <v>31</v>
      </c>
      <c r="D306">
        <v>2</v>
      </c>
      <c r="E306">
        <v>6.34</v>
      </c>
      <c r="F306">
        <v>4</v>
      </c>
      <c r="G306" t="s">
        <v>32</v>
      </c>
      <c r="H306">
        <v>36</v>
      </c>
      <c r="I306" t="s">
        <v>29</v>
      </c>
    </row>
    <row r="307" spans="1:9" x14ac:dyDescent="0.25">
      <c r="A307" t="s">
        <v>26</v>
      </c>
      <c r="B307" t="s">
        <v>27</v>
      </c>
      <c r="C307">
        <v>24</v>
      </c>
      <c r="D307">
        <v>1</v>
      </c>
      <c r="E307">
        <v>9.92</v>
      </c>
      <c r="F307">
        <v>3</v>
      </c>
      <c r="G307" t="s">
        <v>28</v>
      </c>
      <c r="H307">
        <v>44</v>
      </c>
      <c r="I307" t="s">
        <v>29</v>
      </c>
    </row>
    <row r="308" spans="1:9" x14ac:dyDescent="0.25">
      <c r="A308" t="s">
        <v>39</v>
      </c>
      <c r="B308" t="s">
        <v>38</v>
      </c>
      <c r="C308">
        <v>37</v>
      </c>
      <c r="D308">
        <v>9</v>
      </c>
      <c r="E308">
        <v>11.1</v>
      </c>
      <c r="F308">
        <v>5</v>
      </c>
      <c r="G308" t="s">
        <v>28</v>
      </c>
      <c r="H308">
        <v>39</v>
      </c>
      <c r="I308" t="s">
        <v>33</v>
      </c>
    </row>
    <row r="309" spans="1:9" x14ac:dyDescent="0.25">
      <c r="A309" t="s">
        <v>26</v>
      </c>
      <c r="B309" t="s">
        <v>35</v>
      </c>
      <c r="C309">
        <v>39</v>
      </c>
      <c r="D309">
        <v>10</v>
      </c>
      <c r="E309">
        <v>18.18</v>
      </c>
      <c r="F309">
        <v>4</v>
      </c>
      <c r="G309" t="s">
        <v>28</v>
      </c>
      <c r="H309">
        <v>45</v>
      </c>
      <c r="I309" t="s">
        <v>29</v>
      </c>
    </row>
    <row r="310" spans="1:9" x14ac:dyDescent="0.25">
      <c r="A310" t="s">
        <v>30</v>
      </c>
      <c r="B310" t="s">
        <v>31</v>
      </c>
      <c r="C310">
        <v>37</v>
      </c>
      <c r="D310">
        <v>13</v>
      </c>
      <c r="E310">
        <v>25.03</v>
      </c>
      <c r="F310">
        <v>4</v>
      </c>
      <c r="G310" t="s">
        <v>32</v>
      </c>
      <c r="H310">
        <v>47</v>
      </c>
      <c r="I310" t="s">
        <v>29</v>
      </c>
    </row>
    <row r="311" spans="1:9" x14ac:dyDescent="0.25">
      <c r="A311" t="s">
        <v>34</v>
      </c>
      <c r="B311" t="s">
        <v>35</v>
      </c>
      <c r="C311">
        <v>29</v>
      </c>
      <c r="D311">
        <v>6</v>
      </c>
      <c r="E311">
        <v>9.33</v>
      </c>
      <c r="F311">
        <v>5</v>
      </c>
      <c r="G311" t="s">
        <v>32</v>
      </c>
      <c r="H311">
        <v>46</v>
      </c>
      <c r="I311" t="s">
        <v>29</v>
      </c>
    </row>
    <row r="312" spans="1:9" x14ac:dyDescent="0.25">
      <c r="A312" t="s">
        <v>30</v>
      </c>
      <c r="B312" t="s">
        <v>35</v>
      </c>
      <c r="C312">
        <v>47</v>
      </c>
      <c r="D312">
        <v>20</v>
      </c>
      <c r="E312">
        <v>29.98</v>
      </c>
      <c r="F312">
        <v>3</v>
      </c>
      <c r="G312" t="s">
        <v>28</v>
      </c>
      <c r="H312">
        <v>45</v>
      </c>
      <c r="I312" t="s">
        <v>33</v>
      </c>
    </row>
    <row r="313" spans="1:9" x14ac:dyDescent="0.25">
      <c r="A313" t="s">
        <v>30</v>
      </c>
      <c r="B313" t="s">
        <v>31</v>
      </c>
      <c r="C313">
        <v>47</v>
      </c>
      <c r="D313">
        <v>21</v>
      </c>
      <c r="E313">
        <v>30.12</v>
      </c>
      <c r="F313">
        <v>3</v>
      </c>
      <c r="G313" t="s">
        <v>32</v>
      </c>
      <c r="H313">
        <v>41</v>
      </c>
      <c r="I313" t="s">
        <v>29</v>
      </c>
    </row>
    <row r="314" spans="1:9" x14ac:dyDescent="0.25">
      <c r="A314" t="s">
        <v>36</v>
      </c>
      <c r="B314" t="s">
        <v>31</v>
      </c>
      <c r="C314">
        <v>37</v>
      </c>
      <c r="D314">
        <v>14</v>
      </c>
      <c r="E314">
        <v>20.87</v>
      </c>
      <c r="F314">
        <v>5</v>
      </c>
      <c r="G314" t="s">
        <v>32</v>
      </c>
      <c r="H314">
        <v>39</v>
      </c>
      <c r="I314" t="s">
        <v>33</v>
      </c>
    </row>
    <row r="315" spans="1:9" x14ac:dyDescent="0.25">
      <c r="A315" t="s">
        <v>34</v>
      </c>
      <c r="B315" t="s">
        <v>35</v>
      </c>
      <c r="C315">
        <v>30</v>
      </c>
      <c r="D315">
        <v>2</v>
      </c>
      <c r="E315">
        <v>8.27</v>
      </c>
      <c r="F315">
        <v>5</v>
      </c>
      <c r="G315" t="s">
        <v>32</v>
      </c>
      <c r="H315">
        <v>44</v>
      </c>
      <c r="I315" t="s">
        <v>29</v>
      </c>
    </row>
    <row r="316" spans="1:9" x14ac:dyDescent="0.25">
      <c r="A316" t="s">
        <v>34</v>
      </c>
      <c r="B316" t="s">
        <v>31</v>
      </c>
      <c r="C316">
        <v>30</v>
      </c>
      <c r="D316">
        <v>5</v>
      </c>
      <c r="E316">
        <v>8.7799999999999994</v>
      </c>
      <c r="F316">
        <v>5</v>
      </c>
      <c r="G316" t="s">
        <v>32</v>
      </c>
      <c r="H316">
        <v>42</v>
      </c>
      <c r="I316" t="s">
        <v>33</v>
      </c>
    </row>
    <row r="317" spans="1:9" x14ac:dyDescent="0.25">
      <c r="A317" t="s">
        <v>34</v>
      </c>
      <c r="B317" t="s">
        <v>31</v>
      </c>
      <c r="C317">
        <v>36</v>
      </c>
      <c r="D317">
        <v>9</v>
      </c>
      <c r="E317">
        <v>14.7</v>
      </c>
      <c r="F317">
        <v>3</v>
      </c>
      <c r="G317" t="s">
        <v>32</v>
      </c>
      <c r="H317">
        <v>44</v>
      </c>
      <c r="I317" t="s">
        <v>33</v>
      </c>
    </row>
    <row r="318" spans="1:9" x14ac:dyDescent="0.25">
      <c r="A318" t="s">
        <v>26</v>
      </c>
      <c r="B318" t="s">
        <v>27</v>
      </c>
      <c r="C318">
        <v>29</v>
      </c>
      <c r="D318">
        <v>5</v>
      </c>
      <c r="E318">
        <v>11.21</v>
      </c>
      <c r="F318">
        <v>4</v>
      </c>
      <c r="G318" t="s">
        <v>32</v>
      </c>
      <c r="H318">
        <v>48</v>
      </c>
      <c r="I318" t="s">
        <v>29</v>
      </c>
    </row>
    <row r="319" spans="1:9" x14ac:dyDescent="0.25">
      <c r="A319" t="s">
        <v>30</v>
      </c>
      <c r="B319" t="s">
        <v>31</v>
      </c>
      <c r="C319">
        <v>44</v>
      </c>
      <c r="D319">
        <v>17</v>
      </c>
      <c r="E319">
        <v>26.84</v>
      </c>
      <c r="F319">
        <v>4</v>
      </c>
      <c r="G319" t="s">
        <v>28</v>
      </c>
      <c r="H319">
        <v>48</v>
      </c>
      <c r="I319" t="s">
        <v>33</v>
      </c>
    </row>
    <row r="320" spans="1:9" x14ac:dyDescent="0.25">
      <c r="A320" t="s">
        <v>36</v>
      </c>
      <c r="B320" t="s">
        <v>31</v>
      </c>
      <c r="C320">
        <v>28</v>
      </c>
      <c r="D320">
        <v>3</v>
      </c>
      <c r="E320">
        <v>11.92</v>
      </c>
      <c r="F320">
        <v>4</v>
      </c>
      <c r="G320" t="s">
        <v>32</v>
      </c>
      <c r="H320">
        <v>49</v>
      </c>
      <c r="I320" t="s">
        <v>33</v>
      </c>
    </row>
    <row r="321" spans="1:9" x14ac:dyDescent="0.25">
      <c r="A321" t="s">
        <v>39</v>
      </c>
      <c r="B321" t="s">
        <v>38</v>
      </c>
      <c r="C321">
        <v>32</v>
      </c>
      <c r="D321">
        <v>6</v>
      </c>
      <c r="E321">
        <v>9.3699999999999992</v>
      </c>
      <c r="F321">
        <v>3</v>
      </c>
      <c r="G321" t="s">
        <v>32</v>
      </c>
      <c r="H321">
        <v>43</v>
      </c>
      <c r="I321" t="s">
        <v>29</v>
      </c>
    </row>
    <row r="322" spans="1:9" x14ac:dyDescent="0.25">
      <c r="A322" t="s">
        <v>26</v>
      </c>
      <c r="B322" t="s">
        <v>27</v>
      </c>
      <c r="C322">
        <v>37</v>
      </c>
      <c r="D322">
        <v>11</v>
      </c>
      <c r="E322">
        <v>19.989999999999998</v>
      </c>
      <c r="F322">
        <v>5</v>
      </c>
      <c r="G322" t="s">
        <v>32</v>
      </c>
      <c r="H322">
        <v>39</v>
      </c>
      <c r="I322" t="s">
        <v>29</v>
      </c>
    </row>
    <row r="323" spans="1:9" x14ac:dyDescent="0.25">
      <c r="A323" t="s">
        <v>34</v>
      </c>
      <c r="B323" t="s">
        <v>31</v>
      </c>
      <c r="C323">
        <v>28</v>
      </c>
      <c r="D323">
        <v>6</v>
      </c>
      <c r="E323">
        <v>9.91</v>
      </c>
      <c r="F323">
        <v>3</v>
      </c>
      <c r="G323" t="s">
        <v>32</v>
      </c>
      <c r="H323">
        <v>49</v>
      </c>
      <c r="I323" t="s">
        <v>29</v>
      </c>
    </row>
    <row r="324" spans="1:9" x14ac:dyDescent="0.25">
      <c r="A324" t="s">
        <v>36</v>
      </c>
      <c r="B324" t="s">
        <v>31</v>
      </c>
      <c r="C324">
        <v>32</v>
      </c>
      <c r="D324">
        <v>10</v>
      </c>
      <c r="E324">
        <v>19.920000000000002</v>
      </c>
      <c r="F324">
        <v>4</v>
      </c>
      <c r="G324" t="s">
        <v>32</v>
      </c>
      <c r="H324">
        <v>40</v>
      </c>
      <c r="I324" t="s">
        <v>29</v>
      </c>
    </row>
    <row r="325" spans="1:9" x14ac:dyDescent="0.25">
      <c r="A325" t="s">
        <v>26</v>
      </c>
      <c r="B325" t="s">
        <v>35</v>
      </c>
      <c r="C325">
        <v>36</v>
      </c>
      <c r="D325">
        <v>11</v>
      </c>
      <c r="E325">
        <v>17.559999999999999</v>
      </c>
      <c r="F325">
        <v>4</v>
      </c>
      <c r="G325" t="s">
        <v>32</v>
      </c>
      <c r="H325">
        <v>42</v>
      </c>
      <c r="I325" t="s">
        <v>29</v>
      </c>
    </row>
    <row r="326" spans="1:9" x14ac:dyDescent="0.25">
      <c r="A326" t="s">
        <v>37</v>
      </c>
      <c r="B326" t="s">
        <v>31</v>
      </c>
      <c r="C326">
        <v>32</v>
      </c>
      <c r="D326">
        <v>6</v>
      </c>
      <c r="E326">
        <v>9.92</v>
      </c>
      <c r="F326">
        <v>5</v>
      </c>
      <c r="G326" t="s">
        <v>32</v>
      </c>
      <c r="H326">
        <v>46</v>
      </c>
      <c r="I326" t="s">
        <v>29</v>
      </c>
    </row>
    <row r="327" spans="1:9" x14ac:dyDescent="0.25">
      <c r="A327" t="s">
        <v>30</v>
      </c>
      <c r="B327" t="s">
        <v>31</v>
      </c>
      <c r="C327">
        <v>45</v>
      </c>
      <c r="D327">
        <v>20</v>
      </c>
      <c r="E327">
        <v>29.62</v>
      </c>
      <c r="F327">
        <v>3</v>
      </c>
      <c r="G327" t="s">
        <v>8</v>
      </c>
      <c r="H327">
        <v>42</v>
      </c>
      <c r="I327" t="s">
        <v>33</v>
      </c>
    </row>
    <row r="328" spans="1:9" x14ac:dyDescent="0.25">
      <c r="A328" t="s">
        <v>30</v>
      </c>
      <c r="B328" t="s">
        <v>35</v>
      </c>
      <c r="C328">
        <v>28</v>
      </c>
      <c r="D328">
        <v>6</v>
      </c>
      <c r="E328">
        <v>18.22</v>
      </c>
      <c r="F328">
        <v>4</v>
      </c>
      <c r="G328" t="s">
        <v>28</v>
      </c>
      <c r="H328">
        <v>45</v>
      </c>
      <c r="I328" t="s">
        <v>33</v>
      </c>
    </row>
    <row r="329" spans="1:9" x14ac:dyDescent="0.25">
      <c r="A329" t="s">
        <v>36</v>
      </c>
      <c r="B329" t="s">
        <v>35</v>
      </c>
      <c r="C329">
        <v>36</v>
      </c>
      <c r="D329">
        <v>9</v>
      </c>
      <c r="E329">
        <v>19.39</v>
      </c>
      <c r="F329">
        <v>3</v>
      </c>
      <c r="G329" t="s">
        <v>32</v>
      </c>
      <c r="H329">
        <v>42</v>
      </c>
      <c r="I329" t="s">
        <v>33</v>
      </c>
    </row>
    <row r="330" spans="1:9" x14ac:dyDescent="0.25">
      <c r="A330" t="s">
        <v>26</v>
      </c>
      <c r="B330" t="s">
        <v>27</v>
      </c>
      <c r="C330">
        <v>28</v>
      </c>
      <c r="D330">
        <v>6</v>
      </c>
      <c r="E330">
        <v>15.89</v>
      </c>
      <c r="F330">
        <v>5</v>
      </c>
      <c r="G330" t="s">
        <v>28</v>
      </c>
      <c r="H330">
        <v>44</v>
      </c>
      <c r="I330" t="s">
        <v>29</v>
      </c>
    </row>
    <row r="331" spans="1:9" x14ac:dyDescent="0.25">
      <c r="A331" t="s">
        <v>34</v>
      </c>
      <c r="B331" t="s">
        <v>31</v>
      </c>
      <c r="C331">
        <v>28</v>
      </c>
      <c r="D331">
        <v>0</v>
      </c>
      <c r="E331">
        <v>6.4</v>
      </c>
      <c r="F331">
        <v>5</v>
      </c>
      <c r="G331" t="s">
        <v>32</v>
      </c>
      <c r="H331">
        <v>40</v>
      </c>
      <c r="I331" t="s">
        <v>33</v>
      </c>
    </row>
    <row r="332" spans="1:9" x14ac:dyDescent="0.25">
      <c r="A332" t="s">
        <v>34</v>
      </c>
      <c r="B332" t="s">
        <v>31</v>
      </c>
      <c r="C332">
        <v>27</v>
      </c>
      <c r="D332">
        <v>4</v>
      </c>
      <c r="E332">
        <v>9.06</v>
      </c>
      <c r="F332">
        <v>1</v>
      </c>
      <c r="G332" t="s">
        <v>28</v>
      </c>
      <c r="H332">
        <v>31</v>
      </c>
      <c r="I332" t="s">
        <v>29</v>
      </c>
    </row>
    <row r="333" spans="1:9" x14ac:dyDescent="0.25">
      <c r="A333" t="s">
        <v>39</v>
      </c>
      <c r="B333" t="s">
        <v>35</v>
      </c>
      <c r="C333">
        <v>30</v>
      </c>
      <c r="D333">
        <v>1</v>
      </c>
      <c r="E333">
        <v>7.52</v>
      </c>
      <c r="F333">
        <v>4</v>
      </c>
      <c r="G333" t="s">
        <v>28</v>
      </c>
      <c r="H333">
        <v>41</v>
      </c>
      <c r="I333" t="s">
        <v>33</v>
      </c>
    </row>
    <row r="334" spans="1:9" x14ac:dyDescent="0.25">
      <c r="A334" t="s">
        <v>34</v>
      </c>
      <c r="B334" t="s">
        <v>35</v>
      </c>
      <c r="C334">
        <v>28</v>
      </c>
      <c r="D334">
        <v>1</v>
      </c>
      <c r="E334">
        <v>7.17</v>
      </c>
      <c r="F334">
        <v>4</v>
      </c>
      <c r="G334" t="s">
        <v>32</v>
      </c>
      <c r="H334">
        <v>42</v>
      </c>
      <c r="I334" t="s">
        <v>33</v>
      </c>
    </row>
    <row r="335" spans="1:9" x14ac:dyDescent="0.25">
      <c r="A335" t="s">
        <v>34</v>
      </c>
      <c r="B335" t="s">
        <v>31</v>
      </c>
      <c r="C335">
        <v>29</v>
      </c>
      <c r="D335">
        <v>6</v>
      </c>
      <c r="E335">
        <v>12.54</v>
      </c>
      <c r="F335">
        <v>4</v>
      </c>
      <c r="G335" t="s">
        <v>28</v>
      </c>
      <c r="H335">
        <v>42</v>
      </c>
      <c r="I335" t="s">
        <v>29</v>
      </c>
    </row>
    <row r="336" spans="1:9" x14ac:dyDescent="0.25">
      <c r="A336" t="s">
        <v>30</v>
      </c>
      <c r="B336" t="s">
        <v>31</v>
      </c>
      <c r="C336">
        <v>43</v>
      </c>
      <c r="D336">
        <v>15</v>
      </c>
      <c r="E336">
        <v>25.19</v>
      </c>
      <c r="F336">
        <v>3</v>
      </c>
      <c r="G336" t="s">
        <v>32</v>
      </c>
      <c r="H336">
        <v>30</v>
      </c>
      <c r="I336" t="s">
        <v>29</v>
      </c>
    </row>
    <row r="337" spans="1:9" x14ac:dyDescent="0.25">
      <c r="A337" t="s">
        <v>26</v>
      </c>
      <c r="B337" t="s">
        <v>35</v>
      </c>
      <c r="C337">
        <v>26</v>
      </c>
      <c r="D337">
        <v>3</v>
      </c>
      <c r="E337">
        <v>12.83</v>
      </c>
      <c r="F337">
        <v>2</v>
      </c>
      <c r="G337" t="s">
        <v>28</v>
      </c>
      <c r="H337">
        <v>54</v>
      </c>
      <c r="I337" t="s">
        <v>33</v>
      </c>
    </row>
    <row r="338" spans="1:9" x14ac:dyDescent="0.25">
      <c r="A338" t="s">
        <v>37</v>
      </c>
      <c r="B338" t="s">
        <v>38</v>
      </c>
      <c r="C338">
        <v>30</v>
      </c>
      <c r="D338">
        <v>5</v>
      </c>
      <c r="E338">
        <v>7.39</v>
      </c>
      <c r="F338">
        <v>2</v>
      </c>
      <c r="G338" t="s">
        <v>32</v>
      </c>
      <c r="H338">
        <v>40</v>
      </c>
      <c r="I338" t="s">
        <v>29</v>
      </c>
    </row>
    <row r="339" spans="1:9" x14ac:dyDescent="0.25">
      <c r="A339" t="s">
        <v>37</v>
      </c>
      <c r="B339" t="s">
        <v>31</v>
      </c>
      <c r="C339">
        <v>31</v>
      </c>
      <c r="D339">
        <v>7</v>
      </c>
      <c r="E339">
        <v>8.86</v>
      </c>
      <c r="F339">
        <v>4</v>
      </c>
      <c r="G339" t="s">
        <v>32</v>
      </c>
      <c r="H339">
        <v>43</v>
      </c>
      <c r="I339" t="s">
        <v>29</v>
      </c>
    </row>
    <row r="340" spans="1:9" x14ac:dyDescent="0.25">
      <c r="A340" t="s">
        <v>26</v>
      </c>
      <c r="B340" t="s">
        <v>35</v>
      </c>
      <c r="C340">
        <v>26</v>
      </c>
      <c r="D340">
        <v>4</v>
      </c>
      <c r="E340">
        <v>12.65</v>
      </c>
      <c r="F340">
        <v>4</v>
      </c>
      <c r="G340" t="s">
        <v>32</v>
      </c>
      <c r="H340">
        <v>40</v>
      </c>
      <c r="I340" t="s">
        <v>29</v>
      </c>
    </row>
    <row r="341" spans="1:9" x14ac:dyDescent="0.25">
      <c r="A341" t="s">
        <v>34</v>
      </c>
      <c r="B341" t="s">
        <v>31</v>
      </c>
      <c r="C341">
        <v>27</v>
      </c>
      <c r="D341">
        <v>2</v>
      </c>
      <c r="E341">
        <v>6.12</v>
      </c>
      <c r="F341">
        <v>1</v>
      </c>
      <c r="G341" t="s">
        <v>32</v>
      </c>
      <c r="H341">
        <v>49</v>
      </c>
      <c r="I341" t="s">
        <v>29</v>
      </c>
    </row>
    <row r="342" spans="1:9" x14ac:dyDescent="0.25">
      <c r="A342" t="s">
        <v>36</v>
      </c>
      <c r="B342" t="s">
        <v>35</v>
      </c>
      <c r="C342">
        <v>32</v>
      </c>
      <c r="D342">
        <v>6</v>
      </c>
      <c r="E342">
        <v>16.399999999999999</v>
      </c>
      <c r="F342">
        <v>2</v>
      </c>
      <c r="G342" t="s">
        <v>8</v>
      </c>
      <c r="H342">
        <v>44</v>
      </c>
      <c r="I342" t="s">
        <v>33</v>
      </c>
    </row>
    <row r="343" spans="1:9" x14ac:dyDescent="0.25">
      <c r="A343" t="s">
        <v>34</v>
      </c>
      <c r="B343" t="s">
        <v>31</v>
      </c>
      <c r="C343">
        <v>28</v>
      </c>
      <c r="D343">
        <v>3</v>
      </c>
      <c r="E343">
        <v>8.2799999999999994</v>
      </c>
      <c r="F343">
        <v>3</v>
      </c>
      <c r="G343" t="s">
        <v>32</v>
      </c>
      <c r="H343">
        <v>33</v>
      </c>
      <c r="I343" t="s">
        <v>29</v>
      </c>
    </row>
    <row r="344" spans="1:9" x14ac:dyDescent="0.25">
      <c r="A344" t="s">
        <v>26</v>
      </c>
      <c r="B344" t="s">
        <v>35</v>
      </c>
      <c r="C344">
        <v>31</v>
      </c>
      <c r="D344">
        <v>2</v>
      </c>
      <c r="E344">
        <v>11.22</v>
      </c>
      <c r="F344">
        <v>4</v>
      </c>
      <c r="G344" t="s">
        <v>28</v>
      </c>
      <c r="H344">
        <v>41</v>
      </c>
      <c r="I344" t="s">
        <v>33</v>
      </c>
    </row>
    <row r="345" spans="1:9" x14ac:dyDescent="0.25">
      <c r="A345" t="s">
        <v>39</v>
      </c>
      <c r="B345" t="s">
        <v>31</v>
      </c>
      <c r="C345">
        <v>33</v>
      </c>
      <c r="D345">
        <v>5</v>
      </c>
      <c r="E345">
        <v>9.7100000000000009</v>
      </c>
      <c r="F345">
        <v>4</v>
      </c>
      <c r="G345" t="s">
        <v>28</v>
      </c>
      <c r="H345">
        <v>45</v>
      </c>
      <c r="I345" t="s">
        <v>33</v>
      </c>
    </row>
    <row r="346" spans="1:9" x14ac:dyDescent="0.25">
      <c r="A346" t="s">
        <v>39</v>
      </c>
      <c r="B346" t="s">
        <v>31</v>
      </c>
      <c r="C346">
        <v>32</v>
      </c>
      <c r="D346">
        <v>9</v>
      </c>
      <c r="E346">
        <v>14.65</v>
      </c>
      <c r="F346">
        <v>3</v>
      </c>
      <c r="G346" t="s">
        <v>28</v>
      </c>
      <c r="H346">
        <v>44</v>
      </c>
      <c r="I346" t="s">
        <v>29</v>
      </c>
    </row>
    <row r="347" spans="1:9" x14ac:dyDescent="0.25">
      <c r="A347" t="s">
        <v>30</v>
      </c>
      <c r="B347" t="s">
        <v>35</v>
      </c>
      <c r="C347">
        <v>37</v>
      </c>
      <c r="D347">
        <v>8</v>
      </c>
      <c r="E347">
        <v>21.33</v>
      </c>
      <c r="F347">
        <v>2</v>
      </c>
      <c r="G347" t="s">
        <v>32</v>
      </c>
      <c r="H347">
        <v>42</v>
      </c>
      <c r="I347" t="s">
        <v>33</v>
      </c>
    </row>
    <row r="348" spans="1:9" x14ac:dyDescent="0.25">
      <c r="A348" t="s">
        <v>36</v>
      </c>
      <c r="B348" t="s">
        <v>35</v>
      </c>
      <c r="C348">
        <v>43</v>
      </c>
      <c r="D348">
        <v>14</v>
      </c>
      <c r="E348">
        <v>20.61</v>
      </c>
      <c r="F348">
        <v>2</v>
      </c>
      <c r="G348" t="s">
        <v>32</v>
      </c>
      <c r="H348">
        <v>52</v>
      </c>
      <c r="I348" t="s">
        <v>29</v>
      </c>
    </row>
    <row r="349" spans="1:9" x14ac:dyDescent="0.25">
      <c r="A349" t="s">
        <v>30</v>
      </c>
      <c r="B349" t="s">
        <v>31</v>
      </c>
      <c r="C349">
        <v>47</v>
      </c>
      <c r="D349">
        <v>25</v>
      </c>
      <c r="E349">
        <v>30.41</v>
      </c>
      <c r="F349">
        <v>2</v>
      </c>
      <c r="G349" t="s">
        <v>32</v>
      </c>
      <c r="H349">
        <v>47</v>
      </c>
      <c r="I349" t="s">
        <v>29</v>
      </c>
    </row>
    <row r="350" spans="1:9" x14ac:dyDescent="0.25">
      <c r="A350" t="s">
        <v>26</v>
      </c>
      <c r="B350" t="s">
        <v>27</v>
      </c>
      <c r="C350">
        <v>32</v>
      </c>
      <c r="D350">
        <v>10</v>
      </c>
      <c r="E350">
        <v>19.350000000000001</v>
      </c>
      <c r="F350">
        <v>5</v>
      </c>
      <c r="G350" t="s">
        <v>32</v>
      </c>
      <c r="H350">
        <v>49</v>
      </c>
      <c r="I350" t="s">
        <v>29</v>
      </c>
    </row>
    <row r="351" spans="1:9" x14ac:dyDescent="0.25">
      <c r="A351" t="s">
        <v>26</v>
      </c>
      <c r="B351" t="s">
        <v>35</v>
      </c>
      <c r="C351">
        <v>37</v>
      </c>
      <c r="D351">
        <v>10</v>
      </c>
      <c r="E351">
        <v>15.84</v>
      </c>
      <c r="F351">
        <v>5</v>
      </c>
      <c r="G351" t="s">
        <v>28</v>
      </c>
      <c r="H351">
        <v>51</v>
      </c>
      <c r="I351" t="s">
        <v>29</v>
      </c>
    </row>
    <row r="352" spans="1:9" x14ac:dyDescent="0.25">
      <c r="A352" t="s">
        <v>34</v>
      </c>
      <c r="B352" t="s">
        <v>31</v>
      </c>
      <c r="C352">
        <v>31</v>
      </c>
      <c r="D352">
        <v>7</v>
      </c>
      <c r="E352">
        <v>9.01</v>
      </c>
      <c r="F352">
        <v>3</v>
      </c>
      <c r="G352" t="s">
        <v>28</v>
      </c>
      <c r="H352">
        <v>42</v>
      </c>
      <c r="I352" t="s">
        <v>33</v>
      </c>
    </row>
    <row r="353" spans="1:9" x14ac:dyDescent="0.25">
      <c r="A353" t="s">
        <v>26</v>
      </c>
      <c r="B353" t="s">
        <v>35</v>
      </c>
      <c r="C353">
        <v>28</v>
      </c>
      <c r="D353">
        <v>2</v>
      </c>
      <c r="E353">
        <v>10.15</v>
      </c>
      <c r="F353">
        <v>3</v>
      </c>
      <c r="G353" t="s">
        <v>32</v>
      </c>
      <c r="H353">
        <v>42</v>
      </c>
      <c r="I353" t="s">
        <v>29</v>
      </c>
    </row>
    <row r="354" spans="1:9" x14ac:dyDescent="0.25">
      <c r="A354" t="s">
        <v>26</v>
      </c>
      <c r="B354" t="s">
        <v>27</v>
      </c>
      <c r="C354">
        <v>31</v>
      </c>
      <c r="D354">
        <v>7</v>
      </c>
      <c r="E354">
        <v>13.47</v>
      </c>
      <c r="F354">
        <v>3</v>
      </c>
      <c r="G354" t="s">
        <v>32</v>
      </c>
      <c r="H354">
        <v>37</v>
      </c>
      <c r="I354" t="s">
        <v>29</v>
      </c>
    </row>
    <row r="355" spans="1:9" x14ac:dyDescent="0.25">
      <c r="A355" t="s">
        <v>26</v>
      </c>
      <c r="B355" t="s">
        <v>27</v>
      </c>
      <c r="C355">
        <v>24</v>
      </c>
      <c r="D355">
        <v>1</v>
      </c>
      <c r="E355">
        <v>11.02</v>
      </c>
      <c r="F355">
        <v>3</v>
      </c>
      <c r="G355" t="s">
        <v>32</v>
      </c>
      <c r="H355">
        <v>39</v>
      </c>
      <c r="I355" t="s">
        <v>29</v>
      </c>
    </row>
    <row r="356" spans="1:9" x14ac:dyDescent="0.25">
      <c r="A356" t="s">
        <v>34</v>
      </c>
      <c r="B356" t="s">
        <v>35</v>
      </c>
      <c r="C356">
        <v>27</v>
      </c>
      <c r="D356">
        <v>4</v>
      </c>
      <c r="E356">
        <v>10.02</v>
      </c>
      <c r="F356">
        <v>5</v>
      </c>
      <c r="G356" t="s">
        <v>28</v>
      </c>
      <c r="H356">
        <v>37</v>
      </c>
      <c r="I356" t="s">
        <v>33</v>
      </c>
    </row>
    <row r="357" spans="1:9" x14ac:dyDescent="0.25">
      <c r="A357" t="s">
        <v>36</v>
      </c>
      <c r="B357" t="s">
        <v>35</v>
      </c>
      <c r="C357">
        <v>36</v>
      </c>
      <c r="D357">
        <v>10</v>
      </c>
      <c r="E357">
        <v>21.75</v>
      </c>
      <c r="F357">
        <v>1</v>
      </c>
      <c r="G357" t="s">
        <v>32</v>
      </c>
      <c r="H357">
        <v>37</v>
      </c>
      <c r="I357" t="s">
        <v>29</v>
      </c>
    </row>
    <row r="358" spans="1:9" x14ac:dyDescent="0.25">
      <c r="A358" t="s">
        <v>34</v>
      </c>
      <c r="B358" t="s">
        <v>35</v>
      </c>
      <c r="C358">
        <v>32</v>
      </c>
      <c r="D358">
        <v>3</v>
      </c>
      <c r="E358">
        <v>8.19</v>
      </c>
      <c r="F358">
        <v>4</v>
      </c>
      <c r="G358" t="s">
        <v>32</v>
      </c>
      <c r="H358">
        <v>46</v>
      </c>
      <c r="I358" t="s">
        <v>29</v>
      </c>
    </row>
    <row r="359" spans="1:9" x14ac:dyDescent="0.25">
      <c r="A359" t="s">
        <v>34</v>
      </c>
      <c r="B359" t="s">
        <v>35</v>
      </c>
      <c r="C359">
        <v>33</v>
      </c>
      <c r="D359">
        <v>9</v>
      </c>
      <c r="E359">
        <v>12.76</v>
      </c>
      <c r="F359">
        <v>4</v>
      </c>
      <c r="G359" t="s">
        <v>8</v>
      </c>
      <c r="H359">
        <v>30</v>
      </c>
      <c r="I359" t="s">
        <v>29</v>
      </c>
    </row>
    <row r="360" spans="1:9" x14ac:dyDescent="0.25">
      <c r="A360" t="s">
        <v>30</v>
      </c>
      <c r="B360" t="s">
        <v>31</v>
      </c>
      <c r="C360">
        <v>40</v>
      </c>
      <c r="D360">
        <v>16</v>
      </c>
      <c r="E360">
        <v>26.01</v>
      </c>
      <c r="F360">
        <v>3</v>
      </c>
      <c r="G360" t="s">
        <v>32</v>
      </c>
      <c r="H360">
        <v>42</v>
      </c>
      <c r="I360" t="s">
        <v>29</v>
      </c>
    </row>
    <row r="361" spans="1:9" x14ac:dyDescent="0.25">
      <c r="A361" t="s">
        <v>26</v>
      </c>
      <c r="B361" t="s">
        <v>35</v>
      </c>
      <c r="C361">
        <v>34</v>
      </c>
      <c r="D361">
        <v>10</v>
      </c>
      <c r="E361">
        <v>18.82</v>
      </c>
      <c r="F361">
        <v>3</v>
      </c>
      <c r="G361" t="s">
        <v>32</v>
      </c>
      <c r="H361">
        <v>39</v>
      </c>
      <c r="I361" t="s">
        <v>33</v>
      </c>
    </row>
    <row r="362" spans="1:9" x14ac:dyDescent="0.25">
      <c r="A362" t="s">
        <v>36</v>
      </c>
      <c r="B362" t="s">
        <v>31</v>
      </c>
      <c r="C362">
        <v>35</v>
      </c>
      <c r="D362">
        <v>8</v>
      </c>
      <c r="E362">
        <v>16.48</v>
      </c>
      <c r="F362">
        <v>5</v>
      </c>
      <c r="G362" t="s">
        <v>28</v>
      </c>
      <c r="H362">
        <v>44</v>
      </c>
      <c r="I362" t="s">
        <v>29</v>
      </c>
    </row>
    <row r="363" spans="1:9" x14ac:dyDescent="0.25">
      <c r="A363" t="s">
        <v>34</v>
      </c>
      <c r="B363" t="s">
        <v>35</v>
      </c>
      <c r="C363">
        <v>31</v>
      </c>
      <c r="D363">
        <v>6</v>
      </c>
      <c r="E363">
        <v>8.7799999999999994</v>
      </c>
      <c r="F363">
        <v>2</v>
      </c>
      <c r="G363" t="s">
        <v>32</v>
      </c>
      <c r="H363">
        <v>39</v>
      </c>
      <c r="I363" t="s">
        <v>29</v>
      </c>
    </row>
    <row r="364" spans="1:9" x14ac:dyDescent="0.25">
      <c r="A364" t="s">
        <v>36</v>
      </c>
      <c r="B364" t="s">
        <v>31</v>
      </c>
      <c r="C364">
        <v>30</v>
      </c>
      <c r="D364">
        <v>2</v>
      </c>
      <c r="E364">
        <v>15.69</v>
      </c>
      <c r="F364">
        <v>5</v>
      </c>
      <c r="G364" t="s">
        <v>32</v>
      </c>
      <c r="H364">
        <v>47</v>
      </c>
      <c r="I364" t="s">
        <v>33</v>
      </c>
    </row>
    <row r="365" spans="1:9" x14ac:dyDescent="0.25">
      <c r="A365" t="s">
        <v>34</v>
      </c>
      <c r="B365" t="s">
        <v>31</v>
      </c>
      <c r="C365">
        <v>33</v>
      </c>
      <c r="D365">
        <v>10</v>
      </c>
      <c r="E365">
        <v>14.05</v>
      </c>
      <c r="F365">
        <v>4</v>
      </c>
      <c r="G365" t="s">
        <v>32</v>
      </c>
      <c r="H365">
        <v>41</v>
      </c>
      <c r="I365" t="s">
        <v>33</v>
      </c>
    </row>
    <row r="366" spans="1:9" x14ac:dyDescent="0.25">
      <c r="A366" t="s">
        <v>39</v>
      </c>
      <c r="B366" t="s">
        <v>35</v>
      </c>
      <c r="C366">
        <v>38</v>
      </c>
      <c r="D366">
        <v>9</v>
      </c>
      <c r="E366">
        <v>13.81</v>
      </c>
      <c r="F366">
        <v>3</v>
      </c>
      <c r="G366" t="s">
        <v>32</v>
      </c>
      <c r="H366">
        <v>39</v>
      </c>
      <c r="I366" t="s">
        <v>29</v>
      </c>
    </row>
    <row r="367" spans="1:9" x14ac:dyDescent="0.25">
      <c r="A367" t="s">
        <v>39</v>
      </c>
      <c r="B367" t="s">
        <v>38</v>
      </c>
      <c r="C367">
        <v>36</v>
      </c>
      <c r="D367">
        <v>7</v>
      </c>
      <c r="E367">
        <v>10.7</v>
      </c>
      <c r="F367">
        <v>4</v>
      </c>
      <c r="G367" t="s">
        <v>28</v>
      </c>
      <c r="H367">
        <v>47</v>
      </c>
      <c r="I367" t="s">
        <v>29</v>
      </c>
    </row>
    <row r="368" spans="1:9" x14ac:dyDescent="0.25">
      <c r="A368" t="s">
        <v>39</v>
      </c>
      <c r="B368" t="s">
        <v>38</v>
      </c>
      <c r="C368">
        <v>27</v>
      </c>
      <c r="D368">
        <v>2</v>
      </c>
      <c r="E368">
        <v>8.59</v>
      </c>
      <c r="F368">
        <v>2</v>
      </c>
      <c r="G368" t="s">
        <v>28</v>
      </c>
      <c r="H368">
        <v>44</v>
      </c>
      <c r="I368" t="s">
        <v>33</v>
      </c>
    </row>
    <row r="369" spans="1:9" x14ac:dyDescent="0.25">
      <c r="A369" t="s">
        <v>34</v>
      </c>
      <c r="B369" t="s">
        <v>31</v>
      </c>
      <c r="C369">
        <v>29</v>
      </c>
      <c r="D369">
        <v>5</v>
      </c>
      <c r="E369">
        <v>13.18</v>
      </c>
      <c r="F369">
        <v>4</v>
      </c>
      <c r="G369" t="s">
        <v>32</v>
      </c>
      <c r="H369">
        <v>38</v>
      </c>
      <c r="I369" t="s">
        <v>33</v>
      </c>
    </row>
    <row r="370" spans="1:9" x14ac:dyDescent="0.25">
      <c r="A370" t="s">
        <v>39</v>
      </c>
      <c r="B370" t="s">
        <v>31</v>
      </c>
      <c r="C370">
        <v>38</v>
      </c>
      <c r="D370">
        <v>9</v>
      </c>
      <c r="E370">
        <v>14.67</v>
      </c>
      <c r="F370">
        <v>3</v>
      </c>
      <c r="G370" t="s">
        <v>28</v>
      </c>
      <c r="H370">
        <v>38</v>
      </c>
      <c r="I370" t="s">
        <v>33</v>
      </c>
    </row>
    <row r="371" spans="1:9" x14ac:dyDescent="0.25">
      <c r="A371" t="s">
        <v>30</v>
      </c>
      <c r="B371" t="s">
        <v>35</v>
      </c>
      <c r="C371">
        <v>47</v>
      </c>
      <c r="D371">
        <v>18</v>
      </c>
      <c r="E371">
        <v>28.38</v>
      </c>
      <c r="F371">
        <v>3</v>
      </c>
      <c r="G371" t="s">
        <v>28</v>
      </c>
      <c r="H371">
        <v>36</v>
      </c>
      <c r="I371" t="s">
        <v>29</v>
      </c>
    </row>
    <row r="372" spans="1:9" x14ac:dyDescent="0.25">
      <c r="A372" t="s">
        <v>26</v>
      </c>
      <c r="B372" t="s">
        <v>35</v>
      </c>
      <c r="C372">
        <v>25</v>
      </c>
      <c r="D372">
        <v>3</v>
      </c>
      <c r="E372">
        <v>11.98</v>
      </c>
      <c r="F372">
        <v>3</v>
      </c>
      <c r="G372" t="s">
        <v>32</v>
      </c>
      <c r="H372">
        <v>49</v>
      </c>
      <c r="I372" t="s">
        <v>29</v>
      </c>
    </row>
    <row r="373" spans="1:9" x14ac:dyDescent="0.25">
      <c r="A373" t="s">
        <v>34</v>
      </c>
      <c r="B373" t="s">
        <v>35</v>
      </c>
      <c r="C373">
        <v>36</v>
      </c>
      <c r="D373">
        <v>9</v>
      </c>
      <c r="E373">
        <v>13.76</v>
      </c>
      <c r="F373">
        <v>5</v>
      </c>
      <c r="G373" t="s">
        <v>28</v>
      </c>
      <c r="H373">
        <v>39</v>
      </c>
      <c r="I373" t="s">
        <v>33</v>
      </c>
    </row>
    <row r="374" spans="1:9" x14ac:dyDescent="0.25">
      <c r="A374" t="s">
        <v>39</v>
      </c>
      <c r="B374" t="s">
        <v>38</v>
      </c>
      <c r="C374">
        <v>31</v>
      </c>
      <c r="D374">
        <v>2</v>
      </c>
      <c r="E374">
        <v>7.46</v>
      </c>
      <c r="F374">
        <v>4</v>
      </c>
      <c r="G374" t="s">
        <v>28</v>
      </c>
      <c r="H374">
        <v>43</v>
      </c>
      <c r="I374" t="s">
        <v>29</v>
      </c>
    </row>
    <row r="375" spans="1:9" x14ac:dyDescent="0.25">
      <c r="A375" t="s">
        <v>34</v>
      </c>
      <c r="B375" t="s">
        <v>31</v>
      </c>
      <c r="C375">
        <v>35</v>
      </c>
      <c r="D375">
        <v>6</v>
      </c>
      <c r="E375">
        <v>10.57</v>
      </c>
      <c r="F375">
        <v>2</v>
      </c>
      <c r="G375" t="s">
        <v>32</v>
      </c>
      <c r="H375">
        <v>36</v>
      </c>
      <c r="I375" t="s">
        <v>29</v>
      </c>
    </row>
    <row r="376" spans="1:9" x14ac:dyDescent="0.25">
      <c r="A376" t="s">
        <v>36</v>
      </c>
      <c r="B376" t="s">
        <v>35</v>
      </c>
      <c r="C376">
        <v>31</v>
      </c>
      <c r="D376">
        <v>2</v>
      </c>
      <c r="E376">
        <v>10.55</v>
      </c>
      <c r="F376">
        <v>4</v>
      </c>
      <c r="G376" t="s">
        <v>32</v>
      </c>
      <c r="H376">
        <v>39</v>
      </c>
      <c r="I376" t="s">
        <v>29</v>
      </c>
    </row>
    <row r="377" spans="1:9" x14ac:dyDescent="0.25">
      <c r="A377" t="s">
        <v>34</v>
      </c>
      <c r="B377" t="s">
        <v>35</v>
      </c>
      <c r="C377">
        <v>29</v>
      </c>
      <c r="D377">
        <v>5</v>
      </c>
      <c r="E377">
        <v>12.66</v>
      </c>
      <c r="F377">
        <v>5</v>
      </c>
      <c r="G377" t="s">
        <v>28</v>
      </c>
      <c r="H377">
        <v>44</v>
      </c>
      <c r="I377" t="s">
        <v>33</v>
      </c>
    </row>
    <row r="378" spans="1:9" x14ac:dyDescent="0.25">
      <c r="A378" t="s">
        <v>26</v>
      </c>
      <c r="B378" t="s">
        <v>35</v>
      </c>
      <c r="C378">
        <v>30</v>
      </c>
      <c r="D378">
        <v>1</v>
      </c>
      <c r="E378">
        <v>9.69</v>
      </c>
      <c r="F378">
        <v>4</v>
      </c>
      <c r="G378" t="s">
        <v>28</v>
      </c>
      <c r="H378">
        <v>45</v>
      </c>
      <c r="I378" t="s">
        <v>33</v>
      </c>
    </row>
    <row r="379" spans="1:9" x14ac:dyDescent="0.25">
      <c r="A379" t="s">
        <v>26</v>
      </c>
      <c r="B379" t="s">
        <v>27</v>
      </c>
      <c r="C379">
        <v>39</v>
      </c>
      <c r="D379">
        <v>12</v>
      </c>
      <c r="E379">
        <v>14.43</v>
      </c>
      <c r="F379">
        <v>4</v>
      </c>
      <c r="G379" t="s">
        <v>28</v>
      </c>
      <c r="H379">
        <v>55</v>
      </c>
      <c r="I379" t="s">
        <v>29</v>
      </c>
    </row>
    <row r="380" spans="1:9" x14ac:dyDescent="0.25">
      <c r="A380" t="s">
        <v>36</v>
      </c>
      <c r="B380" t="s">
        <v>35</v>
      </c>
      <c r="C380">
        <v>31</v>
      </c>
      <c r="D380">
        <v>2</v>
      </c>
      <c r="E380">
        <v>13.15</v>
      </c>
      <c r="F380">
        <v>5</v>
      </c>
      <c r="G380" t="s">
        <v>32</v>
      </c>
      <c r="H380">
        <v>49</v>
      </c>
      <c r="I380" t="s">
        <v>33</v>
      </c>
    </row>
    <row r="381" spans="1:9" x14ac:dyDescent="0.25">
      <c r="A381" t="s">
        <v>34</v>
      </c>
      <c r="B381" t="s">
        <v>35</v>
      </c>
      <c r="C381">
        <v>31</v>
      </c>
      <c r="D381">
        <v>2</v>
      </c>
      <c r="E381">
        <v>5.86</v>
      </c>
      <c r="F381">
        <v>4</v>
      </c>
      <c r="G381" t="s">
        <v>28</v>
      </c>
      <c r="H381">
        <v>43</v>
      </c>
      <c r="I381" t="s">
        <v>29</v>
      </c>
    </row>
    <row r="382" spans="1:9" x14ac:dyDescent="0.25">
      <c r="A382" t="s">
        <v>36</v>
      </c>
      <c r="B382" t="s">
        <v>35</v>
      </c>
      <c r="C382">
        <v>36</v>
      </c>
      <c r="D382">
        <v>12</v>
      </c>
      <c r="E382">
        <v>20.69</v>
      </c>
      <c r="F382">
        <v>3</v>
      </c>
      <c r="G382" t="s">
        <v>32</v>
      </c>
      <c r="H382">
        <v>41</v>
      </c>
      <c r="I382" t="s">
        <v>29</v>
      </c>
    </row>
    <row r="383" spans="1:9" x14ac:dyDescent="0.25">
      <c r="A383" t="s">
        <v>34</v>
      </c>
      <c r="B383" t="s">
        <v>35</v>
      </c>
      <c r="C383">
        <v>30</v>
      </c>
      <c r="D383">
        <v>1</v>
      </c>
      <c r="E383">
        <v>5.44</v>
      </c>
      <c r="F383">
        <v>5</v>
      </c>
      <c r="G383" t="s">
        <v>32</v>
      </c>
      <c r="H383">
        <v>37</v>
      </c>
      <c r="I383" t="s">
        <v>29</v>
      </c>
    </row>
    <row r="384" spans="1:9" x14ac:dyDescent="0.25">
      <c r="A384" t="s">
        <v>36</v>
      </c>
      <c r="B384" t="s">
        <v>31</v>
      </c>
      <c r="C384">
        <v>31</v>
      </c>
      <c r="D384">
        <v>3</v>
      </c>
      <c r="E384">
        <v>13.63</v>
      </c>
      <c r="F384">
        <v>2</v>
      </c>
      <c r="G384" t="s">
        <v>32</v>
      </c>
      <c r="H384">
        <v>41</v>
      </c>
      <c r="I384" t="s">
        <v>29</v>
      </c>
    </row>
    <row r="385" spans="1:9" x14ac:dyDescent="0.25">
      <c r="A385" t="s">
        <v>39</v>
      </c>
      <c r="B385" t="s">
        <v>38</v>
      </c>
      <c r="C385">
        <v>24</v>
      </c>
      <c r="D385">
        <v>2</v>
      </c>
      <c r="E385">
        <v>7.75</v>
      </c>
      <c r="F385">
        <v>4</v>
      </c>
      <c r="G385" t="s">
        <v>28</v>
      </c>
      <c r="H385">
        <v>35</v>
      </c>
      <c r="I385" t="s">
        <v>29</v>
      </c>
    </row>
    <row r="386" spans="1:9" x14ac:dyDescent="0.25">
      <c r="A386" t="s">
        <v>37</v>
      </c>
      <c r="B386" t="s">
        <v>38</v>
      </c>
      <c r="C386">
        <v>33</v>
      </c>
      <c r="D386">
        <v>11</v>
      </c>
      <c r="E386">
        <v>12.45</v>
      </c>
      <c r="F386">
        <v>3</v>
      </c>
      <c r="G386" t="s">
        <v>32</v>
      </c>
      <c r="H386">
        <v>48</v>
      </c>
      <c r="I386" t="s">
        <v>29</v>
      </c>
    </row>
    <row r="387" spans="1:9" x14ac:dyDescent="0.25">
      <c r="A387" t="s">
        <v>34</v>
      </c>
      <c r="B387" t="s">
        <v>31</v>
      </c>
      <c r="C387">
        <v>24</v>
      </c>
      <c r="D387">
        <v>2</v>
      </c>
      <c r="E387">
        <v>8.44</v>
      </c>
      <c r="F387">
        <v>2</v>
      </c>
      <c r="G387" t="s">
        <v>28</v>
      </c>
      <c r="H387">
        <v>45</v>
      </c>
      <c r="I387" t="s">
        <v>33</v>
      </c>
    </row>
    <row r="388" spans="1:9" x14ac:dyDescent="0.25">
      <c r="A388" t="s">
        <v>26</v>
      </c>
      <c r="B388" t="s">
        <v>35</v>
      </c>
      <c r="C388">
        <v>38</v>
      </c>
      <c r="D388">
        <v>12</v>
      </c>
      <c r="E388">
        <v>18.25</v>
      </c>
      <c r="F388">
        <v>2</v>
      </c>
      <c r="G388" t="s">
        <v>32</v>
      </c>
      <c r="H388">
        <v>39</v>
      </c>
      <c r="I388" t="s">
        <v>29</v>
      </c>
    </row>
    <row r="389" spans="1:9" x14ac:dyDescent="0.25">
      <c r="A389" t="s">
        <v>30</v>
      </c>
      <c r="B389" t="s">
        <v>31</v>
      </c>
      <c r="C389">
        <v>37</v>
      </c>
      <c r="D389">
        <v>10</v>
      </c>
      <c r="E389">
        <v>21.62</v>
      </c>
      <c r="F389">
        <v>3</v>
      </c>
      <c r="G389" t="s">
        <v>28</v>
      </c>
      <c r="H389">
        <v>60</v>
      </c>
      <c r="I389" t="s">
        <v>33</v>
      </c>
    </row>
    <row r="390" spans="1:9" x14ac:dyDescent="0.25">
      <c r="A390" t="s">
        <v>34</v>
      </c>
      <c r="B390" t="s">
        <v>35</v>
      </c>
      <c r="C390">
        <v>34</v>
      </c>
      <c r="D390">
        <v>8</v>
      </c>
      <c r="E390">
        <v>15.43</v>
      </c>
      <c r="F390">
        <v>2</v>
      </c>
      <c r="G390" t="s">
        <v>32</v>
      </c>
      <c r="H390">
        <v>33</v>
      </c>
      <c r="I390" t="s">
        <v>29</v>
      </c>
    </row>
    <row r="391" spans="1:9" x14ac:dyDescent="0.25">
      <c r="A391" t="s">
        <v>36</v>
      </c>
      <c r="B391" t="s">
        <v>31</v>
      </c>
      <c r="C391">
        <v>39</v>
      </c>
      <c r="D391">
        <v>12</v>
      </c>
      <c r="E391">
        <v>20.71</v>
      </c>
      <c r="F391">
        <v>4</v>
      </c>
      <c r="G391" t="s">
        <v>32</v>
      </c>
      <c r="H391">
        <v>45</v>
      </c>
      <c r="I391" t="s">
        <v>33</v>
      </c>
    </row>
    <row r="392" spans="1:9" x14ac:dyDescent="0.25">
      <c r="A392" t="s">
        <v>34</v>
      </c>
      <c r="B392" t="s">
        <v>35</v>
      </c>
      <c r="C392">
        <v>32</v>
      </c>
      <c r="D392">
        <v>5</v>
      </c>
      <c r="E392">
        <v>9.16</v>
      </c>
      <c r="F392">
        <v>3</v>
      </c>
      <c r="G392" t="s">
        <v>32</v>
      </c>
      <c r="H392">
        <v>33</v>
      </c>
      <c r="I392" t="s">
        <v>29</v>
      </c>
    </row>
    <row r="393" spans="1:9" x14ac:dyDescent="0.25">
      <c r="A393" t="s">
        <v>30</v>
      </c>
      <c r="B393" t="s">
        <v>31</v>
      </c>
      <c r="C393">
        <v>38</v>
      </c>
      <c r="D393">
        <v>12</v>
      </c>
      <c r="E393">
        <v>22.25</v>
      </c>
      <c r="F393">
        <v>4</v>
      </c>
      <c r="G393" t="s">
        <v>32</v>
      </c>
      <c r="H393">
        <v>54</v>
      </c>
      <c r="I393" t="s">
        <v>33</v>
      </c>
    </row>
    <row r="394" spans="1:9" x14ac:dyDescent="0.25">
      <c r="A394" t="s">
        <v>30</v>
      </c>
      <c r="B394" t="s">
        <v>31</v>
      </c>
      <c r="C394">
        <v>47</v>
      </c>
      <c r="D394">
        <v>24</v>
      </c>
      <c r="E394">
        <v>32.520000000000003</v>
      </c>
      <c r="F394">
        <v>1</v>
      </c>
      <c r="G394" t="s">
        <v>28</v>
      </c>
      <c r="H394">
        <v>41</v>
      </c>
      <c r="I394" t="s">
        <v>33</v>
      </c>
    </row>
    <row r="395" spans="1:9" x14ac:dyDescent="0.25">
      <c r="A395" t="s">
        <v>34</v>
      </c>
      <c r="B395" t="s">
        <v>31</v>
      </c>
      <c r="C395">
        <v>30</v>
      </c>
      <c r="D395">
        <v>1</v>
      </c>
      <c r="E395">
        <v>5.84</v>
      </c>
      <c r="F395">
        <v>4</v>
      </c>
      <c r="G395" t="s">
        <v>32</v>
      </c>
      <c r="H395">
        <v>37</v>
      </c>
      <c r="I395" t="s">
        <v>29</v>
      </c>
    </row>
    <row r="396" spans="1:9" x14ac:dyDescent="0.25">
      <c r="A396" t="s">
        <v>30</v>
      </c>
      <c r="B396" t="s">
        <v>35</v>
      </c>
      <c r="C396">
        <v>39</v>
      </c>
      <c r="D396">
        <v>17</v>
      </c>
      <c r="E396">
        <v>27.22</v>
      </c>
      <c r="F396">
        <v>3</v>
      </c>
      <c r="G396" t="s">
        <v>32</v>
      </c>
      <c r="H396">
        <v>53</v>
      </c>
      <c r="I396" t="s">
        <v>33</v>
      </c>
    </row>
    <row r="397" spans="1:9" x14ac:dyDescent="0.25">
      <c r="A397" t="s">
        <v>36</v>
      </c>
      <c r="B397" t="s">
        <v>31</v>
      </c>
      <c r="C397">
        <v>29</v>
      </c>
      <c r="D397">
        <v>4</v>
      </c>
      <c r="E397">
        <v>15.22</v>
      </c>
      <c r="F397">
        <v>4</v>
      </c>
      <c r="G397" t="s">
        <v>28</v>
      </c>
      <c r="H397">
        <v>44</v>
      </c>
      <c r="I397" t="s">
        <v>29</v>
      </c>
    </row>
    <row r="398" spans="1:9" x14ac:dyDescent="0.25">
      <c r="A398" t="s">
        <v>37</v>
      </c>
      <c r="B398" t="s">
        <v>38</v>
      </c>
      <c r="C398">
        <v>36</v>
      </c>
      <c r="D398">
        <v>12</v>
      </c>
      <c r="E398">
        <v>16.440000000000001</v>
      </c>
      <c r="F398">
        <v>2</v>
      </c>
      <c r="G398" t="s">
        <v>28</v>
      </c>
      <c r="H398">
        <v>38</v>
      </c>
      <c r="I398" t="s">
        <v>33</v>
      </c>
    </row>
    <row r="399" spans="1:9" x14ac:dyDescent="0.25">
      <c r="A399" t="s">
        <v>30</v>
      </c>
      <c r="B399" t="s">
        <v>31</v>
      </c>
      <c r="C399">
        <v>39</v>
      </c>
      <c r="D399">
        <v>16</v>
      </c>
      <c r="E399">
        <v>27.95</v>
      </c>
      <c r="F399">
        <v>4</v>
      </c>
      <c r="G399" t="s">
        <v>32</v>
      </c>
      <c r="H399">
        <v>53</v>
      </c>
      <c r="I399" t="s">
        <v>29</v>
      </c>
    </row>
    <row r="400" spans="1:9" x14ac:dyDescent="0.25">
      <c r="A400" t="s">
        <v>30</v>
      </c>
      <c r="B400" t="s">
        <v>31</v>
      </c>
      <c r="C400">
        <v>40</v>
      </c>
      <c r="D400">
        <v>17</v>
      </c>
      <c r="E400">
        <v>27.05</v>
      </c>
      <c r="F400">
        <v>5</v>
      </c>
      <c r="G400" t="s">
        <v>32</v>
      </c>
      <c r="H400">
        <v>58</v>
      </c>
      <c r="I400" t="s">
        <v>33</v>
      </c>
    </row>
    <row r="401" spans="1:9" x14ac:dyDescent="0.25">
      <c r="A401" t="s">
        <v>26</v>
      </c>
      <c r="B401" t="s">
        <v>35</v>
      </c>
      <c r="C401">
        <v>39</v>
      </c>
      <c r="D401">
        <v>10</v>
      </c>
      <c r="E401">
        <v>19.940000000000001</v>
      </c>
      <c r="F401">
        <v>1</v>
      </c>
      <c r="G401" t="s">
        <v>32</v>
      </c>
      <c r="H401">
        <v>50</v>
      </c>
      <c r="I401" t="s">
        <v>33</v>
      </c>
    </row>
    <row r="402" spans="1:9" x14ac:dyDescent="0.25">
      <c r="A402" t="s">
        <v>26</v>
      </c>
      <c r="B402" t="s">
        <v>35</v>
      </c>
      <c r="C402">
        <v>37</v>
      </c>
      <c r="D402">
        <v>11</v>
      </c>
      <c r="E402">
        <v>18.37</v>
      </c>
      <c r="F402">
        <v>4</v>
      </c>
      <c r="G402" t="s">
        <v>32</v>
      </c>
      <c r="H402">
        <v>48</v>
      </c>
      <c r="I402" t="s">
        <v>29</v>
      </c>
    </row>
    <row r="403" spans="1:9" x14ac:dyDescent="0.25">
      <c r="A403" t="s">
        <v>34</v>
      </c>
      <c r="B403" t="s">
        <v>31</v>
      </c>
      <c r="C403">
        <v>38</v>
      </c>
      <c r="D403">
        <v>10</v>
      </c>
      <c r="E403">
        <v>13.95</v>
      </c>
      <c r="F403">
        <v>3</v>
      </c>
      <c r="G403" t="s">
        <v>32</v>
      </c>
      <c r="H403">
        <v>49</v>
      </c>
      <c r="I403" t="s">
        <v>29</v>
      </c>
    </row>
    <row r="404" spans="1:9" x14ac:dyDescent="0.25">
      <c r="A404" t="s">
        <v>34</v>
      </c>
      <c r="B404" t="s">
        <v>31</v>
      </c>
      <c r="C404">
        <v>29</v>
      </c>
      <c r="D404">
        <v>2</v>
      </c>
      <c r="E404">
        <v>7.26</v>
      </c>
      <c r="F404">
        <v>3</v>
      </c>
      <c r="G404" t="s">
        <v>32</v>
      </c>
      <c r="H404">
        <v>38</v>
      </c>
      <c r="I404" t="s">
        <v>29</v>
      </c>
    </row>
    <row r="405" spans="1:9" x14ac:dyDescent="0.25">
      <c r="A405" t="s">
        <v>26</v>
      </c>
      <c r="B405" t="s">
        <v>35</v>
      </c>
      <c r="C405">
        <v>37</v>
      </c>
      <c r="D405">
        <v>8</v>
      </c>
      <c r="E405">
        <v>15.2</v>
      </c>
      <c r="F405">
        <v>4</v>
      </c>
      <c r="G405" t="s">
        <v>32</v>
      </c>
      <c r="H405">
        <v>39</v>
      </c>
      <c r="I405" t="s">
        <v>29</v>
      </c>
    </row>
    <row r="406" spans="1:9" x14ac:dyDescent="0.25">
      <c r="A406" t="s">
        <v>30</v>
      </c>
      <c r="B406" t="s">
        <v>31</v>
      </c>
      <c r="C406">
        <v>53</v>
      </c>
      <c r="D406">
        <v>25</v>
      </c>
      <c r="E406">
        <v>32.83</v>
      </c>
      <c r="F406">
        <v>1</v>
      </c>
      <c r="G406" t="s">
        <v>32</v>
      </c>
      <c r="H406">
        <v>60</v>
      </c>
      <c r="I406" t="s">
        <v>29</v>
      </c>
    </row>
    <row r="407" spans="1:9" x14ac:dyDescent="0.25">
      <c r="A407" t="s">
        <v>34</v>
      </c>
      <c r="B407" t="s">
        <v>31</v>
      </c>
      <c r="C407">
        <v>35</v>
      </c>
      <c r="D407">
        <v>6</v>
      </c>
      <c r="E407">
        <v>10.49</v>
      </c>
      <c r="F407">
        <v>4</v>
      </c>
      <c r="G407" t="s">
        <v>32</v>
      </c>
      <c r="H407">
        <v>36</v>
      </c>
      <c r="I407" t="s">
        <v>29</v>
      </c>
    </row>
    <row r="408" spans="1:9" x14ac:dyDescent="0.25">
      <c r="A408" t="s">
        <v>30</v>
      </c>
      <c r="B408" t="s">
        <v>35</v>
      </c>
      <c r="C408">
        <v>36</v>
      </c>
      <c r="D408">
        <v>13</v>
      </c>
      <c r="E408">
        <v>24.22</v>
      </c>
      <c r="F408">
        <v>3</v>
      </c>
      <c r="G408" t="s">
        <v>32</v>
      </c>
      <c r="H408">
        <v>50</v>
      </c>
      <c r="I408" t="s">
        <v>29</v>
      </c>
    </row>
    <row r="409" spans="1:9" x14ac:dyDescent="0.25">
      <c r="A409" t="s">
        <v>30</v>
      </c>
      <c r="B409" t="s">
        <v>35</v>
      </c>
      <c r="C409">
        <v>37</v>
      </c>
      <c r="D409">
        <v>13</v>
      </c>
      <c r="E409">
        <v>24.97</v>
      </c>
      <c r="F409">
        <v>2</v>
      </c>
      <c r="G409" t="s">
        <v>28</v>
      </c>
      <c r="H409">
        <v>50</v>
      </c>
      <c r="I409" t="s">
        <v>29</v>
      </c>
    </row>
    <row r="410" spans="1:9" x14ac:dyDescent="0.25">
      <c r="A410" t="s">
        <v>34</v>
      </c>
      <c r="B410" t="s">
        <v>35</v>
      </c>
      <c r="C410">
        <v>31</v>
      </c>
      <c r="D410">
        <v>9</v>
      </c>
      <c r="E410">
        <v>12.14</v>
      </c>
      <c r="F410">
        <v>5</v>
      </c>
      <c r="G410" t="s">
        <v>32</v>
      </c>
      <c r="H410">
        <v>37</v>
      </c>
      <c r="I410" t="s">
        <v>29</v>
      </c>
    </row>
    <row r="411" spans="1:9" x14ac:dyDescent="0.25">
      <c r="A411" t="s">
        <v>30</v>
      </c>
      <c r="B411" t="s">
        <v>31</v>
      </c>
      <c r="C411">
        <v>42</v>
      </c>
      <c r="D411">
        <v>20</v>
      </c>
      <c r="E411">
        <v>30.44</v>
      </c>
      <c r="F411">
        <v>5</v>
      </c>
      <c r="G411" t="s">
        <v>32</v>
      </c>
      <c r="H411">
        <v>46</v>
      </c>
      <c r="I411" t="s">
        <v>29</v>
      </c>
    </row>
    <row r="412" spans="1:9" x14ac:dyDescent="0.25">
      <c r="A412" t="s">
        <v>36</v>
      </c>
      <c r="B412" t="s">
        <v>35</v>
      </c>
      <c r="C412">
        <v>31</v>
      </c>
      <c r="D412">
        <v>8</v>
      </c>
      <c r="E412">
        <v>19</v>
      </c>
      <c r="F412">
        <v>4</v>
      </c>
      <c r="G412" t="s">
        <v>28</v>
      </c>
      <c r="H412">
        <v>50</v>
      </c>
      <c r="I412" t="s">
        <v>29</v>
      </c>
    </row>
    <row r="413" spans="1:9" x14ac:dyDescent="0.25">
      <c r="A413" t="s">
        <v>37</v>
      </c>
      <c r="B413" t="s">
        <v>38</v>
      </c>
      <c r="C413">
        <v>29</v>
      </c>
      <c r="D413">
        <v>6</v>
      </c>
      <c r="E413">
        <v>11.01</v>
      </c>
      <c r="F413">
        <v>3</v>
      </c>
      <c r="G413" t="s">
        <v>32</v>
      </c>
      <c r="H413">
        <v>40</v>
      </c>
      <c r="I413" t="s">
        <v>29</v>
      </c>
    </row>
    <row r="414" spans="1:9" x14ac:dyDescent="0.25">
      <c r="A414" t="s">
        <v>34</v>
      </c>
      <c r="B414" t="s">
        <v>35</v>
      </c>
      <c r="C414">
        <v>29</v>
      </c>
      <c r="D414">
        <v>7</v>
      </c>
      <c r="E414">
        <v>11.43</v>
      </c>
      <c r="F414">
        <v>3</v>
      </c>
      <c r="G414" t="s">
        <v>32</v>
      </c>
      <c r="H414">
        <v>37</v>
      </c>
      <c r="I414" t="s">
        <v>33</v>
      </c>
    </row>
    <row r="415" spans="1:9" x14ac:dyDescent="0.25">
      <c r="A415" t="s">
        <v>26</v>
      </c>
      <c r="B415" t="s">
        <v>35</v>
      </c>
      <c r="C415">
        <v>37</v>
      </c>
      <c r="D415">
        <v>12</v>
      </c>
      <c r="E415">
        <v>18.350000000000001</v>
      </c>
      <c r="F415">
        <v>4</v>
      </c>
      <c r="G415" t="s">
        <v>32</v>
      </c>
      <c r="H415">
        <v>35</v>
      </c>
      <c r="I415" t="s">
        <v>29</v>
      </c>
    </row>
    <row r="416" spans="1:9" x14ac:dyDescent="0.25">
      <c r="A416" t="s">
        <v>26</v>
      </c>
      <c r="B416" t="s">
        <v>35</v>
      </c>
      <c r="C416">
        <v>29</v>
      </c>
      <c r="D416">
        <v>4</v>
      </c>
      <c r="E416">
        <v>14.2</v>
      </c>
      <c r="F416">
        <v>2</v>
      </c>
      <c r="G416" t="s">
        <v>32</v>
      </c>
      <c r="H416">
        <v>37</v>
      </c>
      <c r="I416" t="s">
        <v>29</v>
      </c>
    </row>
    <row r="417" spans="1:9" x14ac:dyDescent="0.25">
      <c r="A417" t="s">
        <v>26</v>
      </c>
      <c r="B417" t="s">
        <v>27</v>
      </c>
      <c r="C417">
        <v>35</v>
      </c>
      <c r="D417">
        <v>9</v>
      </c>
      <c r="E417">
        <v>18.21</v>
      </c>
      <c r="F417">
        <v>5</v>
      </c>
      <c r="G417" t="s">
        <v>28</v>
      </c>
      <c r="H417">
        <v>56</v>
      </c>
      <c r="I417" t="s">
        <v>33</v>
      </c>
    </row>
    <row r="418" spans="1:9" x14ac:dyDescent="0.25">
      <c r="A418" t="s">
        <v>34</v>
      </c>
      <c r="B418" t="s">
        <v>35</v>
      </c>
      <c r="C418">
        <v>32</v>
      </c>
      <c r="D418">
        <v>9</v>
      </c>
      <c r="E418">
        <v>12.71</v>
      </c>
      <c r="F418">
        <v>4</v>
      </c>
      <c r="G418" t="s">
        <v>32</v>
      </c>
      <c r="H418">
        <v>38</v>
      </c>
      <c r="I418" t="s">
        <v>29</v>
      </c>
    </row>
    <row r="419" spans="1:9" x14ac:dyDescent="0.25">
      <c r="A419" t="s">
        <v>36</v>
      </c>
      <c r="B419" t="s">
        <v>31</v>
      </c>
      <c r="C419">
        <v>31</v>
      </c>
      <c r="D419">
        <v>7</v>
      </c>
      <c r="E419">
        <v>16.829999999999998</v>
      </c>
      <c r="F419">
        <v>5</v>
      </c>
      <c r="G419" t="s">
        <v>28</v>
      </c>
      <c r="H419">
        <v>55</v>
      </c>
      <c r="I419" t="s">
        <v>33</v>
      </c>
    </row>
    <row r="420" spans="1:9" x14ac:dyDescent="0.25">
      <c r="A420" t="s">
        <v>39</v>
      </c>
      <c r="B420" t="s">
        <v>38</v>
      </c>
      <c r="C420">
        <v>31</v>
      </c>
      <c r="D420">
        <v>7</v>
      </c>
      <c r="E420">
        <v>12.36</v>
      </c>
      <c r="F420">
        <v>3</v>
      </c>
      <c r="G420" t="s">
        <v>32</v>
      </c>
      <c r="H420">
        <v>43</v>
      </c>
      <c r="I420" t="s">
        <v>33</v>
      </c>
    </row>
    <row r="421" spans="1:9" x14ac:dyDescent="0.25">
      <c r="A421" t="s">
        <v>34</v>
      </c>
      <c r="B421" t="s">
        <v>31</v>
      </c>
      <c r="C421">
        <v>23</v>
      </c>
      <c r="D421">
        <v>0</v>
      </c>
      <c r="E421">
        <v>5.97</v>
      </c>
      <c r="F421">
        <v>4</v>
      </c>
      <c r="G421" t="s">
        <v>28</v>
      </c>
      <c r="H421">
        <v>36</v>
      </c>
      <c r="I421" t="s">
        <v>29</v>
      </c>
    </row>
    <row r="422" spans="1:9" x14ac:dyDescent="0.25">
      <c r="A422" t="s">
        <v>34</v>
      </c>
      <c r="B422" t="s">
        <v>31</v>
      </c>
      <c r="C422">
        <v>30</v>
      </c>
      <c r="D422">
        <v>3</v>
      </c>
      <c r="E422">
        <v>9.5299999999999994</v>
      </c>
      <c r="F422">
        <v>5</v>
      </c>
      <c r="G422" t="s">
        <v>32</v>
      </c>
      <c r="H422">
        <v>37</v>
      </c>
      <c r="I422" t="s">
        <v>29</v>
      </c>
    </row>
    <row r="423" spans="1:9" x14ac:dyDescent="0.25">
      <c r="A423" t="s">
        <v>34</v>
      </c>
      <c r="B423" t="s">
        <v>35</v>
      </c>
      <c r="C423">
        <v>35</v>
      </c>
      <c r="D423">
        <v>8</v>
      </c>
      <c r="E423">
        <v>12.24</v>
      </c>
      <c r="F423">
        <v>4</v>
      </c>
      <c r="G423" t="s">
        <v>32</v>
      </c>
      <c r="H423">
        <v>40</v>
      </c>
      <c r="I423" t="s">
        <v>29</v>
      </c>
    </row>
    <row r="424" spans="1:9" x14ac:dyDescent="0.25">
      <c r="A424" t="s">
        <v>26</v>
      </c>
      <c r="B424" t="s">
        <v>27</v>
      </c>
      <c r="C424">
        <v>29</v>
      </c>
      <c r="D424">
        <v>3</v>
      </c>
      <c r="E424">
        <v>12.01</v>
      </c>
      <c r="F424">
        <v>4</v>
      </c>
      <c r="G424" t="s">
        <v>32</v>
      </c>
      <c r="H424">
        <v>51</v>
      </c>
      <c r="I424" t="s">
        <v>29</v>
      </c>
    </row>
    <row r="425" spans="1:9" x14ac:dyDescent="0.25">
      <c r="A425" t="s">
        <v>36</v>
      </c>
      <c r="B425" t="s">
        <v>31</v>
      </c>
      <c r="C425">
        <v>39</v>
      </c>
      <c r="D425">
        <v>12</v>
      </c>
      <c r="E425">
        <v>21.75</v>
      </c>
      <c r="F425">
        <v>5</v>
      </c>
      <c r="G425" t="s">
        <v>32</v>
      </c>
      <c r="H425">
        <v>42</v>
      </c>
      <c r="I425" t="s">
        <v>29</v>
      </c>
    </row>
    <row r="426" spans="1:9" x14ac:dyDescent="0.25">
      <c r="A426" t="s">
        <v>26</v>
      </c>
      <c r="B426" t="s">
        <v>35</v>
      </c>
      <c r="C426">
        <v>28</v>
      </c>
      <c r="D426">
        <v>5</v>
      </c>
      <c r="E426">
        <v>11.45</v>
      </c>
      <c r="F426">
        <v>4</v>
      </c>
      <c r="G426" t="s">
        <v>28</v>
      </c>
      <c r="H426">
        <v>46</v>
      </c>
      <c r="I426" t="s">
        <v>29</v>
      </c>
    </row>
    <row r="427" spans="1:9" x14ac:dyDescent="0.25">
      <c r="A427" t="s">
        <v>34</v>
      </c>
      <c r="B427" t="s">
        <v>31</v>
      </c>
      <c r="C427">
        <v>32</v>
      </c>
      <c r="D427">
        <v>7</v>
      </c>
      <c r="E427">
        <v>11.71</v>
      </c>
      <c r="F427">
        <v>3</v>
      </c>
      <c r="G427" t="s">
        <v>32</v>
      </c>
      <c r="H427">
        <v>45</v>
      </c>
      <c r="I427" t="s">
        <v>29</v>
      </c>
    </row>
    <row r="428" spans="1:9" x14ac:dyDescent="0.25">
      <c r="A428" t="s">
        <v>26</v>
      </c>
      <c r="B428" t="s">
        <v>27</v>
      </c>
      <c r="C428">
        <v>36</v>
      </c>
      <c r="D428">
        <v>8</v>
      </c>
      <c r="E428">
        <v>16.03</v>
      </c>
      <c r="F428">
        <v>3</v>
      </c>
      <c r="G428" t="s">
        <v>32</v>
      </c>
      <c r="H428">
        <v>45</v>
      </c>
      <c r="I428" t="s">
        <v>29</v>
      </c>
    </row>
    <row r="429" spans="1:9" x14ac:dyDescent="0.25">
      <c r="A429" t="s">
        <v>26</v>
      </c>
      <c r="B429" t="s">
        <v>35</v>
      </c>
      <c r="C429">
        <v>29</v>
      </c>
      <c r="D429">
        <v>6</v>
      </c>
      <c r="E429">
        <v>13.51</v>
      </c>
      <c r="F429">
        <v>5</v>
      </c>
      <c r="G429" t="s">
        <v>32</v>
      </c>
      <c r="H429">
        <v>52</v>
      </c>
      <c r="I429" t="s">
        <v>29</v>
      </c>
    </row>
    <row r="430" spans="1:9" x14ac:dyDescent="0.25">
      <c r="A430" t="s">
        <v>39</v>
      </c>
      <c r="B430" t="s">
        <v>31</v>
      </c>
      <c r="C430">
        <v>28</v>
      </c>
      <c r="D430">
        <v>1</v>
      </c>
      <c r="E430">
        <v>6.26</v>
      </c>
      <c r="F430">
        <v>5</v>
      </c>
      <c r="G430" t="s">
        <v>28</v>
      </c>
      <c r="H430">
        <v>40</v>
      </c>
      <c r="I430" t="s">
        <v>33</v>
      </c>
    </row>
    <row r="431" spans="1:9" x14ac:dyDescent="0.25">
      <c r="A431" t="s">
        <v>34</v>
      </c>
      <c r="B431" t="s">
        <v>31</v>
      </c>
      <c r="C431">
        <v>31</v>
      </c>
      <c r="D431">
        <v>2</v>
      </c>
      <c r="E431">
        <v>9.02</v>
      </c>
      <c r="F431">
        <v>3</v>
      </c>
      <c r="G431" t="s">
        <v>32</v>
      </c>
      <c r="H431">
        <v>39</v>
      </c>
      <c r="I431" t="s">
        <v>33</v>
      </c>
    </row>
    <row r="432" spans="1:9" x14ac:dyDescent="0.25">
      <c r="A432" t="s">
        <v>34</v>
      </c>
      <c r="B432" t="s">
        <v>35</v>
      </c>
      <c r="C432">
        <v>32</v>
      </c>
      <c r="D432">
        <v>9</v>
      </c>
      <c r="E432">
        <v>12.49</v>
      </c>
      <c r="F432">
        <v>5</v>
      </c>
      <c r="G432" t="s">
        <v>32</v>
      </c>
      <c r="H432">
        <v>37</v>
      </c>
      <c r="I432" t="s">
        <v>29</v>
      </c>
    </row>
    <row r="433" spans="1:9" x14ac:dyDescent="0.25">
      <c r="A433" t="s">
        <v>34</v>
      </c>
      <c r="B433" t="s">
        <v>35</v>
      </c>
      <c r="C433">
        <v>33</v>
      </c>
      <c r="D433">
        <v>9</v>
      </c>
      <c r="E433">
        <v>12.67</v>
      </c>
      <c r="F433">
        <v>4</v>
      </c>
      <c r="G433" t="s">
        <v>32</v>
      </c>
      <c r="H433">
        <v>41</v>
      </c>
      <c r="I433" t="s">
        <v>29</v>
      </c>
    </row>
    <row r="434" spans="1:9" x14ac:dyDescent="0.25">
      <c r="A434" t="s">
        <v>26</v>
      </c>
      <c r="B434" t="s">
        <v>35</v>
      </c>
      <c r="C434">
        <v>31</v>
      </c>
      <c r="D434">
        <v>9</v>
      </c>
      <c r="E434">
        <v>17.98</v>
      </c>
      <c r="F434">
        <v>3</v>
      </c>
      <c r="G434" t="s">
        <v>28</v>
      </c>
      <c r="H434">
        <v>39</v>
      </c>
      <c r="I434" t="s">
        <v>29</v>
      </c>
    </row>
    <row r="435" spans="1:9" x14ac:dyDescent="0.25">
      <c r="A435" t="s">
        <v>37</v>
      </c>
      <c r="B435" t="s">
        <v>38</v>
      </c>
      <c r="C435">
        <v>26</v>
      </c>
      <c r="D435">
        <v>0</v>
      </c>
      <c r="E435">
        <v>3.06</v>
      </c>
      <c r="F435">
        <v>5</v>
      </c>
      <c r="G435" t="s">
        <v>32</v>
      </c>
      <c r="H435">
        <v>35</v>
      </c>
      <c r="I435" t="s">
        <v>29</v>
      </c>
    </row>
    <row r="436" spans="1:9" x14ac:dyDescent="0.25">
      <c r="A436" t="s">
        <v>36</v>
      </c>
      <c r="B436" t="s">
        <v>31</v>
      </c>
      <c r="C436">
        <v>34</v>
      </c>
      <c r="D436">
        <v>7</v>
      </c>
      <c r="E436">
        <v>14.87</v>
      </c>
      <c r="F436">
        <v>5</v>
      </c>
      <c r="G436" t="s">
        <v>32</v>
      </c>
      <c r="H436">
        <v>44</v>
      </c>
      <c r="I436" t="s">
        <v>33</v>
      </c>
    </row>
    <row r="437" spans="1:9" x14ac:dyDescent="0.25">
      <c r="A437" t="s">
        <v>39</v>
      </c>
      <c r="B437" t="s">
        <v>31</v>
      </c>
      <c r="C437">
        <v>33</v>
      </c>
      <c r="D437">
        <v>10</v>
      </c>
      <c r="E437">
        <v>14.03</v>
      </c>
      <c r="F437">
        <v>4</v>
      </c>
      <c r="G437" t="s">
        <v>32</v>
      </c>
      <c r="H437">
        <v>43</v>
      </c>
      <c r="I437" t="s">
        <v>33</v>
      </c>
    </row>
    <row r="438" spans="1:9" x14ac:dyDescent="0.25">
      <c r="A438" t="s">
        <v>26</v>
      </c>
      <c r="B438" t="s">
        <v>35</v>
      </c>
      <c r="C438">
        <v>32</v>
      </c>
      <c r="D438">
        <v>4</v>
      </c>
      <c r="E438">
        <v>12.99</v>
      </c>
      <c r="F438">
        <v>4</v>
      </c>
      <c r="G438" t="s">
        <v>32</v>
      </c>
      <c r="H438">
        <v>40</v>
      </c>
      <c r="I438" t="s">
        <v>33</v>
      </c>
    </row>
    <row r="439" spans="1:9" x14ac:dyDescent="0.25">
      <c r="A439" t="s">
        <v>26</v>
      </c>
      <c r="B439" t="s">
        <v>35</v>
      </c>
      <c r="C439">
        <v>33</v>
      </c>
      <c r="D439">
        <v>5</v>
      </c>
      <c r="E439">
        <v>12.21</v>
      </c>
      <c r="F439">
        <v>5</v>
      </c>
      <c r="G439" t="s">
        <v>32</v>
      </c>
      <c r="H439">
        <v>60</v>
      </c>
      <c r="I439" t="s">
        <v>29</v>
      </c>
    </row>
    <row r="440" spans="1:9" x14ac:dyDescent="0.25">
      <c r="A440" t="s">
        <v>36</v>
      </c>
      <c r="B440" t="s">
        <v>31</v>
      </c>
      <c r="C440">
        <v>29</v>
      </c>
      <c r="D440">
        <v>2</v>
      </c>
      <c r="E440">
        <v>15.42</v>
      </c>
      <c r="F440">
        <v>3</v>
      </c>
      <c r="G440" t="s">
        <v>32</v>
      </c>
      <c r="H440">
        <v>41</v>
      </c>
      <c r="I440" t="s">
        <v>33</v>
      </c>
    </row>
    <row r="441" spans="1:9" x14ac:dyDescent="0.25">
      <c r="A441" t="s">
        <v>37</v>
      </c>
      <c r="B441" t="s">
        <v>38</v>
      </c>
      <c r="C441">
        <v>28</v>
      </c>
      <c r="D441">
        <v>0</v>
      </c>
      <c r="E441">
        <v>6.11</v>
      </c>
      <c r="F441">
        <v>4</v>
      </c>
      <c r="G441" t="s">
        <v>32</v>
      </c>
      <c r="H441">
        <v>43</v>
      </c>
      <c r="I441" t="s">
        <v>29</v>
      </c>
    </row>
    <row r="442" spans="1:9" x14ac:dyDescent="0.25">
      <c r="A442" t="s">
        <v>34</v>
      </c>
      <c r="B442" t="s">
        <v>31</v>
      </c>
      <c r="C442">
        <v>30</v>
      </c>
      <c r="D442">
        <v>2</v>
      </c>
      <c r="E442">
        <v>9.81</v>
      </c>
      <c r="F442">
        <v>4</v>
      </c>
      <c r="G442" t="s">
        <v>32</v>
      </c>
      <c r="H442">
        <v>39</v>
      </c>
      <c r="I442" t="s">
        <v>29</v>
      </c>
    </row>
    <row r="443" spans="1:9" x14ac:dyDescent="0.25">
      <c r="A443" t="s">
        <v>30</v>
      </c>
      <c r="B443" t="s">
        <v>35</v>
      </c>
      <c r="C443">
        <v>48</v>
      </c>
      <c r="D443">
        <v>25</v>
      </c>
      <c r="E443">
        <v>31.76</v>
      </c>
      <c r="F443">
        <v>2</v>
      </c>
      <c r="G443" t="s">
        <v>32</v>
      </c>
      <c r="H443">
        <v>42</v>
      </c>
      <c r="I443" t="s">
        <v>33</v>
      </c>
    </row>
    <row r="444" spans="1:9" x14ac:dyDescent="0.25">
      <c r="A444" t="s">
        <v>36</v>
      </c>
      <c r="B444" t="s">
        <v>31</v>
      </c>
      <c r="C444">
        <v>30</v>
      </c>
      <c r="D444">
        <v>7</v>
      </c>
      <c r="E444">
        <v>16.739999999999998</v>
      </c>
      <c r="F444">
        <v>2</v>
      </c>
      <c r="G444" t="s">
        <v>32</v>
      </c>
      <c r="H444">
        <v>47</v>
      </c>
      <c r="I444" t="s">
        <v>29</v>
      </c>
    </row>
    <row r="445" spans="1:9" x14ac:dyDescent="0.25">
      <c r="A445" t="s">
        <v>34</v>
      </c>
      <c r="B445" t="s">
        <v>35</v>
      </c>
      <c r="C445">
        <v>30</v>
      </c>
      <c r="D445">
        <v>8</v>
      </c>
      <c r="E445">
        <v>11</v>
      </c>
      <c r="F445">
        <v>1</v>
      </c>
      <c r="G445" t="s">
        <v>28</v>
      </c>
      <c r="H445">
        <v>33</v>
      </c>
      <c r="I445" t="s">
        <v>29</v>
      </c>
    </row>
    <row r="446" spans="1:9" x14ac:dyDescent="0.25">
      <c r="A446" t="s">
        <v>30</v>
      </c>
      <c r="B446" t="s">
        <v>31</v>
      </c>
      <c r="C446">
        <v>48</v>
      </c>
      <c r="D446">
        <v>21</v>
      </c>
      <c r="E446">
        <v>30.43</v>
      </c>
      <c r="F446">
        <v>5</v>
      </c>
      <c r="G446" t="s">
        <v>32</v>
      </c>
      <c r="H446">
        <v>41</v>
      </c>
      <c r="I446" t="s">
        <v>29</v>
      </c>
    </row>
    <row r="447" spans="1:9" x14ac:dyDescent="0.25">
      <c r="A447" t="s">
        <v>34</v>
      </c>
      <c r="B447" t="s">
        <v>35</v>
      </c>
      <c r="C447">
        <v>29</v>
      </c>
      <c r="D447">
        <v>3</v>
      </c>
      <c r="E447">
        <v>8.39</v>
      </c>
      <c r="F447">
        <v>5</v>
      </c>
      <c r="G447" t="s">
        <v>28</v>
      </c>
      <c r="H447">
        <v>35</v>
      </c>
      <c r="I447" t="s">
        <v>29</v>
      </c>
    </row>
    <row r="448" spans="1:9" x14ac:dyDescent="0.25">
      <c r="A448" t="s">
        <v>34</v>
      </c>
      <c r="B448" t="s">
        <v>31</v>
      </c>
      <c r="C448">
        <v>34</v>
      </c>
      <c r="D448">
        <v>7</v>
      </c>
      <c r="E448">
        <v>10.029999999999999</v>
      </c>
      <c r="F448">
        <v>2</v>
      </c>
      <c r="G448" t="s">
        <v>32</v>
      </c>
      <c r="H448">
        <v>41</v>
      </c>
      <c r="I448" t="s">
        <v>29</v>
      </c>
    </row>
    <row r="449" spans="1:9" x14ac:dyDescent="0.25">
      <c r="A449" t="s">
        <v>39</v>
      </c>
      <c r="B449" t="s">
        <v>31</v>
      </c>
      <c r="C449">
        <v>29</v>
      </c>
      <c r="D449">
        <v>1</v>
      </c>
      <c r="E449">
        <v>10.72</v>
      </c>
      <c r="F449">
        <v>3</v>
      </c>
      <c r="G449" t="s">
        <v>32</v>
      </c>
      <c r="H449">
        <v>33</v>
      </c>
      <c r="I449" t="s">
        <v>29</v>
      </c>
    </row>
    <row r="450" spans="1:9" x14ac:dyDescent="0.25">
      <c r="A450" t="s">
        <v>34</v>
      </c>
      <c r="B450" t="s">
        <v>31</v>
      </c>
      <c r="C450">
        <v>25</v>
      </c>
      <c r="D450">
        <v>3</v>
      </c>
      <c r="E450">
        <v>8.41</v>
      </c>
      <c r="F450">
        <v>5</v>
      </c>
      <c r="G450" t="s">
        <v>32</v>
      </c>
      <c r="H450">
        <v>36</v>
      </c>
      <c r="I450" t="s">
        <v>29</v>
      </c>
    </row>
    <row r="451" spans="1:9" x14ac:dyDescent="0.25">
      <c r="A451" t="s">
        <v>39</v>
      </c>
      <c r="B451" t="s">
        <v>31</v>
      </c>
      <c r="C451">
        <v>31</v>
      </c>
      <c r="D451">
        <v>5</v>
      </c>
      <c r="E451">
        <v>8.15</v>
      </c>
      <c r="F451">
        <v>4</v>
      </c>
      <c r="G451" t="s">
        <v>32</v>
      </c>
      <c r="H451">
        <v>43</v>
      </c>
      <c r="I451" t="s">
        <v>33</v>
      </c>
    </row>
    <row r="452" spans="1:9" x14ac:dyDescent="0.25">
      <c r="A452" t="s">
        <v>30</v>
      </c>
      <c r="B452" t="s">
        <v>31</v>
      </c>
      <c r="C452">
        <v>38</v>
      </c>
      <c r="D452">
        <v>9</v>
      </c>
      <c r="E452">
        <v>20.94</v>
      </c>
      <c r="F452">
        <v>2</v>
      </c>
      <c r="G452" t="s">
        <v>32</v>
      </c>
      <c r="H452">
        <v>50</v>
      </c>
      <c r="I452" t="s">
        <v>29</v>
      </c>
    </row>
    <row r="453" spans="1:9" x14ac:dyDescent="0.25">
      <c r="A453" t="s">
        <v>30</v>
      </c>
      <c r="B453" t="s">
        <v>31</v>
      </c>
      <c r="C453">
        <v>48</v>
      </c>
      <c r="D453">
        <v>23</v>
      </c>
      <c r="E453">
        <v>30.08</v>
      </c>
      <c r="F453">
        <v>4</v>
      </c>
      <c r="G453" t="s">
        <v>32</v>
      </c>
      <c r="H453">
        <v>49</v>
      </c>
      <c r="I453" t="s">
        <v>29</v>
      </c>
    </row>
    <row r="454" spans="1:9" x14ac:dyDescent="0.25">
      <c r="A454" t="s">
        <v>39</v>
      </c>
      <c r="B454" t="s">
        <v>31</v>
      </c>
      <c r="C454">
        <v>26</v>
      </c>
      <c r="D454">
        <v>1</v>
      </c>
      <c r="E454">
        <v>9.74</v>
      </c>
      <c r="F454">
        <v>1</v>
      </c>
      <c r="G454" t="s">
        <v>32</v>
      </c>
      <c r="H454">
        <v>43</v>
      </c>
      <c r="I454" t="s">
        <v>29</v>
      </c>
    </row>
    <row r="455" spans="1:9" x14ac:dyDescent="0.25">
      <c r="A455" t="s">
        <v>34</v>
      </c>
      <c r="B455" t="s">
        <v>35</v>
      </c>
      <c r="C455">
        <v>30</v>
      </c>
      <c r="D455">
        <v>8</v>
      </c>
      <c r="E455">
        <v>12.03</v>
      </c>
      <c r="F455">
        <v>4</v>
      </c>
      <c r="G455" t="s">
        <v>32</v>
      </c>
      <c r="H455">
        <v>47</v>
      </c>
      <c r="I455" t="s">
        <v>29</v>
      </c>
    </row>
    <row r="456" spans="1:9" x14ac:dyDescent="0.25">
      <c r="A456" t="s">
        <v>34</v>
      </c>
      <c r="B456" t="s">
        <v>31</v>
      </c>
      <c r="C456">
        <v>36</v>
      </c>
      <c r="D456">
        <v>8</v>
      </c>
      <c r="E456">
        <v>11.08</v>
      </c>
      <c r="F456">
        <v>2</v>
      </c>
      <c r="G456" t="s">
        <v>32</v>
      </c>
      <c r="H456">
        <v>45</v>
      </c>
      <c r="I456" t="s">
        <v>33</v>
      </c>
    </row>
    <row r="457" spans="1:9" x14ac:dyDescent="0.25">
      <c r="A457" t="s">
        <v>34</v>
      </c>
      <c r="B457" t="s">
        <v>31</v>
      </c>
      <c r="C457">
        <v>24</v>
      </c>
      <c r="D457">
        <v>2</v>
      </c>
      <c r="E457">
        <v>8.4600000000000009</v>
      </c>
      <c r="F457">
        <v>2</v>
      </c>
      <c r="G457" t="s">
        <v>28</v>
      </c>
      <c r="H457">
        <v>30</v>
      </c>
      <c r="I457" t="s">
        <v>33</v>
      </c>
    </row>
    <row r="458" spans="1:9" x14ac:dyDescent="0.25">
      <c r="A458" t="s">
        <v>36</v>
      </c>
      <c r="B458" t="s">
        <v>31</v>
      </c>
      <c r="C458">
        <v>36</v>
      </c>
      <c r="D458">
        <v>7</v>
      </c>
      <c r="E458">
        <v>17.3</v>
      </c>
      <c r="F458">
        <v>4</v>
      </c>
      <c r="G458" t="s">
        <v>32</v>
      </c>
      <c r="H458">
        <v>44</v>
      </c>
      <c r="I458" t="s">
        <v>33</v>
      </c>
    </row>
    <row r="459" spans="1:9" x14ac:dyDescent="0.25">
      <c r="A459" t="s">
        <v>37</v>
      </c>
      <c r="B459" t="s">
        <v>31</v>
      </c>
      <c r="C459">
        <v>36</v>
      </c>
      <c r="D459">
        <v>8</v>
      </c>
      <c r="E459">
        <v>9.48</v>
      </c>
      <c r="F459">
        <v>3</v>
      </c>
      <c r="G459" t="s">
        <v>32</v>
      </c>
      <c r="H459">
        <v>44</v>
      </c>
      <c r="I459" t="s">
        <v>29</v>
      </c>
    </row>
    <row r="460" spans="1:9" x14ac:dyDescent="0.25">
      <c r="A460" t="s">
        <v>37</v>
      </c>
      <c r="B460" t="s">
        <v>38</v>
      </c>
      <c r="C460">
        <v>35</v>
      </c>
      <c r="D460">
        <v>12</v>
      </c>
      <c r="E460">
        <v>11.79</v>
      </c>
      <c r="F460">
        <v>2</v>
      </c>
      <c r="G460" t="s">
        <v>28</v>
      </c>
      <c r="H460">
        <v>39</v>
      </c>
      <c r="I460" t="s">
        <v>29</v>
      </c>
    </row>
    <row r="461" spans="1:9" x14ac:dyDescent="0.25">
      <c r="A461" t="s">
        <v>37</v>
      </c>
      <c r="B461" t="s">
        <v>38</v>
      </c>
      <c r="C461">
        <v>34</v>
      </c>
      <c r="D461">
        <v>7</v>
      </c>
      <c r="E461">
        <v>9.0299999999999994</v>
      </c>
      <c r="F461">
        <v>3</v>
      </c>
      <c r="G461" t="s">
        <v>32</v>
      </c>
      <c r="H461">
        <v>36</v>
      </c>
      <c r="I461" t="s">
        <v>33</v>
      </c>
    </row>
    <row r="462" spans="1:9" x14ac:dyDescent="0.25">
      <c r="A462" t="s">
        <v>37</v>
      </c>
      <c r="B462" t="s">
        <v>38</v>
      </c>
      <c r="C462">
        <v>39</v>
      </c>
      <c r="D462">
        <v>12</v>
      </c>
      <c r="E462">
        <v>15.39</v>
      </c>
      <c r="F462">
        <v>2</v>
      </c>
      <c r="G462" t="s">
        <v>32</v>
      </c>
      <c r="H462">
        <v>38</v>
      </c>
      <c r="I462" t="s">
        <v>29</v>
      </c>
    </row>
    <row r="463" spans="1:9" x14ac:dyDescent="0.25">
      <c r="A463" t="s">
        <v>34</v>
      </c>
      <c r="B463" t="s">
        <v>31</v>
      </c>
      <c r="C463">
        <v>31</v>
      </c>
      <c r="D463">
        <v>2</v>
      </c>
      <c r="E463">
        <v>4.5</v>
      </c>
      <c r="F463">
        <v>4</v>
      </c>
      <c r="G463" t="s">
        <v>32</v>
      </c>
      <c r="H463">
        <v>43</v>
      </c>
      <c r="I463" t="s">
        <v>29</v>
      </c>
    </row>
    <row r="464" spans="1:9" x14ac:dyDescent="0.25">
      <c r="A464" t="s">
        <v>26</v>
      </c>
      <c r="B464" t="s">
        <v>35</v>
      </c>
      <c r="C464">
        <v>34</v>
      </c>
      <c r="D464">
        <v>6</v>
      </c>
      <c r="E464">
        <v>11.76</v>
      </c>
      <c r="F464">
        <v>5</v>
      </c>
      <c r="G464" t="s">
        <v>32</v>
      </c>
      <c r="H464">
        <v>54</v>
      </c>
      <c r="I464" t="s">
        <v>29</v>
      </c>
    </row>
    <row r="465" spans="1:9" x14ac:dyDescent="0.25">
      <c r="A465" t="s">
        <v>26</v>
      </c>
      <c r="B465" t="s">
        <v>27</v>
      </c>
      <c r="C465">
        <v>30</v>
      </c>
      <c r="D465">
        <v>6</v>
      </c>
      <c r="E465">
        <v>15.11</v>
      </c>
      <c r="F465">
        <v>4</v>
      </c>
      <c r="G465" t="s">
        <v>32</v>
      </c>
      <c r="H465">
        <v>43</v>
      </c>
      <c r="I465" t="s">
        <v>29</v>
      </c>
    </row>
    <row r="466" spans="1:9" x14ac:dyDescent="0.25">
      <c r="A466" t="s">
        <v>26</v>
      </c>
      <c r="B466" t="s">
        <v>35</v>
      </c>
      <c r="C466">
        <v>26</v>
      </c>
      <c r="D466">
        <v>3</v>
      </c>
      <c r="E466">
        <v>9.51</v>
      </c>
      <c r="F466">
        <v>5</v>
      </c>
      <c r="G466" t="s">
        <v>32</v>
      </c>
      <c r="H466">
        <v>41</v>
      </c>
      <c r="I466" t="s">
        <v>29</v>
      </c>
    </row>
    <row r="467" spans="1:9" x14ac:dyDescent="0.25">
      <c r="A467" t="s">
        <v>30</v>
      </c>
      <c r="B467" t="s">
        <v>31</v>
      </c>
      <c r="C467">
        <v>35</v>
      </c>
      <c r="D467">
        <v>6</v>
      </c>
      <c r="E467">
        <v>17.309999999999999</v>
      </c>
      <c r="F467">
        <v>5</v>
      </c>
      <c r="G467" t="s">
        <v>32</v>
      </c>
      <c r="H467">
        <v>48</v>
      </c>
      <c r="I467" t="s">
        <v>29</v>
      </c>
    </row>
    <row r="468" spans="1:9" x14ac:dyDescent="0.25">
      <c r="A468" t="s">
        <v>34</v>
      </c>
      <c r="B468" t="s">
        <v>31</v>
      </c>
      <c r="C468">
        <v>31</v>
      </c>
      <c r="D468">
        <v>2</v>
      </c>
      <c r="E468">
        <v>7.55</v>
      </c>
      <c r="F468">
        <v>3</v>
      </c>
      <c r="G468" t="s">
        <v>8</v>
      </c>
      <c r="H468">
        <v>44</v>
      </c>
      <c r="I468" t="s">
        <v>29</v>
      </c>
    </row>
    <row r="469" spans="1:9" x14ac:dyDescent="0.25">
      <c r="A469" t="s">
        <v>39</v>
      </c>
      <c r="B469" t="s">
        <v>31</v>
      </c>
      <c r="C469">
        <v>28</v>
      </c>
      <c r="D469">
        <v>0</v>
      </c>
      <c r="E469">
        <v>6.04</v>
      </c>
      <c r="F469">
        <v>4</v>
      </c>
      <c r="G469" t="s">
        <v>28</v>
      </c>
      <c r="H469">
        <v>39</v>
      </c>
      <c r="I469" t="s">
        <v>29</v>
      </c>
    </row>
    <row r="470" spans="1:9" x14ac:dyDescent="0.25">
      <c r="A470" t="s">
        <v>30</v>
      </c>
      <c r="B470" t="s">
        <v>31</v>
      </c>
      <c r="C470">
        <v>41</v>
      </c>
      <c r="D470">
        <v>15</v>
      </c>
      <c r="E470">
        <v>25.74</v>
      </c>
      <c r="F470">
        <v>3</v>
      </c>
      <c r="G470" t="s">
        <v>32</v>
      </c>
      <c r="H470">
        <v>51</v>
      </c>
      <c r="I470" t="s">
        <v>33</v>
      </c>
    </row>
    <row r="471" spans="1:9" x14ac:dyDescent="0.25">
      <c r="A471" t="s">
        <v>26</v>
      </c>
      <c r="B471" t="s">
        <v>35</v>
      </c>
      <c r="C471">
        <v>33</v>
      </c>
      <c r="D471">
        <v>6</v>
      </c>
      <c r="E471">
        <v>14.03</v>
      </c>
      <c r="F471">
        <v>3</v>
      </c>
      <c r="G471" t="s">
        <v>28</v>
      </c>
      <c r="H471">
        <v>48</v>
      </c>
      <c r="I471" t="s">
        <v>29</v>
      </c>
    </row>
    <row r="472" spans="1:9" x14ac:dyDescent="0.25">
      <c r="A472" t="s">
        <v>39</v>
      </c>
      <c r="B472" t="s">
        <v>31</v>
      </c>
      <c r="C472">
        <v>32</v>
      </c>
      <c r="D472">
        <v>7</v>
      </c>
      <c r="E472">
        <v>13.03</v>
      </c>
      <c r="F472">
        <v>5</v>
      </c>
      <c r="G472" t="s">
        <v>28</v>
      </c>
      <c r="H472">
        <v>40</v>
      </c>
      <c r="I472" t="s">
        <v>29</v>
      </c>
    </row>
    <row r="473" spans="1:9" x14ac:dyDescent="0.25">
      <c r="A473" t="s">
        <v>34</v>
      </c>
      <c r="B473" t="s">
        <v>31</v>
      </c>
      <c r="C473">
        <v>35</v>
      </c>
      <c r="D473">
        <v>9</v>
      </c>
      <c r="E473">
        <v>13.18</v>
      </c>
      <c r="F473">
        <v>3</v>
      </c>
      <c r="G473" t="s">
        <v>32</v>
      </c>
      <c r="H473">
        <v>34</v>
      </c>
      <c r="I473" t="s">
        <v>33</v>
      </c>
    </row>
    <row r="474" spans="1:9" x14ac:dyDescent="0.25">
      <c r="A474" t="s">
        <v>34</v>
      </c>
      <c r="B474" t="s">
        <v>35</v>
      </c>
      <c r="C474">
        <v>27</v>
      </c>
      <c r="D474">
        <v>3</v>
      </c>
      <c r="E474">
        <v>7.52</v>
      </c>
      <c r="F474">
        <v>4</v>
      </c>
      <c r="G474" t="s">
        <v>32</v>
      </c>
      <c r="H474">
        <v>41</v>
      </c>
      <c r="I474" t="s">
        <v>29</v>
      </c>
    </row>
    <row r="475" spans="1:9" x14ac:dyDescent="0.25">
      <c r="A475" t="s">
        <v>39</v>
      </c>
      <c r="B475" t="s">
        <v>35</v>
      </c>
      <c r="C475">
        <v>35</v>
      </c>
      <c r="D475">
        <v>6</v>
      </c>
      <c r="E475">
        <v>9.31</v>
      </c>
      <c r="F475">
        <v>3</v>
      </c>
      <c r="G475" t="s">
        <v>8</v>
      </c>
      <c r="H475">
        <v>41</v>
      </c>
      <c r="I475" t="s">
        <v>29</v>
      </c>
    </row>
    <row r="476" spans="1:9" x14ac:dyDescent="0.25">
      <c r="A476" t="s">
        <v>26</v>
      </c>
      <c r="B476" t="s">
        <v>35</v>
      </c>
      <c r="C476">
        <v>35</v>
      </c>
      <c r="D476">
        <v>9</v>
      </c>
      <c r="E476">
        <v>18.52</v>
      </c>
      <c r="F476">
        <v>5</v>
      </c>
      <c r="G476" t="s">
        <v>32</v>
      </c>
      <c r="H476">
        <v>46</v>
      </c>
      <c r="I476" t="s">
        <v>29</v>
      </c>
    </row>
    <row r="477" spans="1:9" x14ac:dyDescent="0.25">
      <c r="A477" t="s">
        <v>30</v>
      </c>
      <c r="B477" t="s">
        <v>35</v>
      </c>
      <c r="C477">
        <v>32</v>
      </c>
      <c r="D477">
        <v>7</v>
      </c>
      <c r="E477">
        <v>16.91</v>
      </c>
      <c r="F477">
        <v>2</v>
      </c>
      <c r="G477" t="s">
        <v>28</v>
      </c>
      <c r="H477">
        <v>39</v>
      </c>
      <c r="I477" t="s">
        <v>29</v>
      </c>
    </row>
    <row r="478" spans="1:9" x14ac:dyDescent="0.25">
      <c r="A478" t="s">
        <v>34</v>
      </c>
      <c r="B478" t="s">
        <v>31</v>
      </c>
      <c r="C478">
        <v>34</v>
      </c>
      <c r="D478">
        <v>8</v>
      </c>
      <c r="E478">
        <v>11.38</v>
      </c>
      <c r="F478">
        <v>3</v>
      </c>
      <c r="G478" t="s">
        <v>32</v>
      </c>
      <c r="H478">
        <v>39</v>
      </c>
      <c r="I478" t="s">
        <v>29</v>
      </c>
    </row>
    <row r="479" spans="1:9" x14ac:dyDescent="0.25">
      <c r="A479" t="s">
        <v>30</v>
      </c>
      <c r="B479" t="s">
        <v>31</v>
      </c>
      <c r="C479">
        <v>39</v>
      </c>
      <c r="D479">
        <v>15</v>
      </c>
      <c r="E479">
        <v>25.53</v>
      </c>
      <c r="F479">
        <v>4</v>
      </c>
      <c r="G479" t="s">
        <v>32</v>
      </c>
      <c r="H479">
        <v>56</v>
      </c>
      <c r="I479" t="s">
        <v>29</v>
      </c>
    </row>
    <row r="480" spans="1:9" x14ac:dyDescent="0.25">
      <c r="A480" t="s">
        <v>34</v>
      </c>
      <c r="B480" t="s">
        <v>31</v>
      </c>
      <c r="C480">
        <v>33</v>
      </c>
      <c r="D480">
        <v>7</v>
      </c>
      <c r="E480">
        <v>10.46</v>
      </c>
      <c r="F480">
        <v>3</v>
      </c>
      <c r="G480" t="s">
        <v>32</v>
      </c>
      <c r="H480">
        <v>33</v>
      </c>
      <c r="I480" t="s">
        <v>33</v>
      </c>
    </row>
    <row r="481" spans="1:9" x14ac:dyDescent="0.25">
      <c r="A481" t="s">
        <v>26</v>
      </c>
      <c r="B481" t="s">
        <v>35</v>
      </c>
      <c r="C481">
        <v>37</v>
      </c>
      <c r="D481">
        <v>8</v>
      </c>
      <c r="E481">
        <v>15.28</v>
      </c>
      <c r="F481">
        <v>4</v>
      </c>
      <c r="G481" t="s">
        <v>32</v>
      </c>
      <c r="H481">
        <v>52</v>
      </c>
      <c r="I481" t="s">
        <v>29</v>
      </c>
    </row>
    <row r="482" spans="1:9" x14ac:dyDescent="0.25">
      <c r="A482" t="s">
        <v>34</v>
      </c>
      <c r="B482" t="s">
        <v>35</v>
      </c>
      <c r="C482">
        <v>29</v>
      </c>
      <c r="D482">
        <v>0</v>
      </c>
      <c r="E482">
        <v>8.94</v>
      </c>
      <c r="F482">
        <v>2</v>
      </c>
      <c r="G482" t="s">
        <v>32</v>
      </c>
      <c r="H482">
        <v>37</v>
      </c>
      <c r="I482" t="s">
        <v>29</v>
      </c>
    </row>
    <row r="483" spans="1:9" x14ac:dyDescent="0.25">
      <c r="A483" t="s">
        <v>34</v>
      </c>
      <c r="B483" t="s">
        <v>31</v>
      </c>
      <c r="C483">
        <v>31</v>
      </c>
      <c r="D483">
        <v>3</v>
      </c>
      <c r="E483">
        <v>9.35</v>
      </c>
      <c r="F483">
        <v>2</v>
      </c>
      <c r="G483" t="s">
        <v>32</v>
      </c>
      <c r="H483">
        <v>41</v>
      </c>
      <c r="I483" t="s">
        <v>29</v>
      </c>
    </row>
    <row r="484" spans="1:9" x14ac:dyDescent="0.25">
      <c r="A484" t="s">
        <v>26</v>
      </c>
      <c r="B484" t="s">
        <v>27</v>
      </c>
      <c r="C484">
        <v>35</v>
      </c>
      <c r="D484">
        <v>7</v>
      </c>
      <c r="E484">
        <v>15.81</v>
      </c>
      <c r="F484">
        <v>4</v>
      </c>
      <c r="G484" t="s">
        <v>28</v>
      </c>
      <c r="H484">
        <v>47</v>
      </c>
      <c r="I484" t="s">
        <v>29</v>
      </c>
    </row>
    <row r="485" spans="1:9" x14ac:dyDescent="0.25">
      <c r="A485" t="s">
        <v>39</v>
      </c>
      <c r="B485" t="s">
        <v>31</v>
      </c>
      <c r="C485">
        <v>33</v>
      </c>
      <c r="D485">
        <v>5</v>
      </c>
      <c r="E485">
        <v>9.7200000000000006</v>
      </c>
      <c r="F485">
        <v>4</v>
      </c>
      <c r="G485" t="s">
        <v>28</v>
      </c>
      <c r="H485">
        <v>43</v>
      </c>
      <c r="I485" t="s">
        <v>29</v>
      </c>
    </row>
    <row r="486" spans="1:9" x14ac:dyDescent="0.25">
      <c r="A486" t="s">
        <v>37</v>
      </c>
      <c r="B486" t="s">
        <v>38</v>
      </c>
      <c r="C486">
        <v>34</v>
      </c>
      <c r="D486">
        <v>11</v>
      </c>
      <c r="E486">
        <v>9.15</v>
      </c>
      <c r="F486">
        <v>4</v>
      </c>
      <c r="G486" t="s">
        <v>28</v>
      </c>
      <c r="H486">
        <v>47</v>
      </c>
      <c r="I486" t="s">
        <v>29</v>
      </c>
    </row>
    <row r="487" spans="1:9" x14ac:dyDescent="0.25">
      <c r="A487" t="s">
        <v>39</v>
      </c>
      <c r="B487" t="s">
        <v>31</v>
      </c>
      <c r="C487">
        <v>33</v>
      </c>
      <c r="D487">
        <v>5</v>
      </c>
      <c r="E487">
        <v>9.61</v>
      </c>
      <c r="F487">
        <v>5</v>
      </c>
      <c r="G487" t="s">
        <v>28</v>
      </c>
      <c r="H487">
        <v>34</v>
      </c>
      <c r="I487" t="s">
        <v>29</v>
      </c>
    </row>
    <row r="488" spans="1:9" x14ac:dyDescent="0.25">
      <c r="A488" t="s">
        <v>34</v>
      </c>
      <c r="B488" t="s">
        <v>31</v>
      </c>
      <c r="C488">
        <v>22</v>
      </c>
      <c r="D488">
        <v>0</v>
      </c>
      <c r="E488">
        <v>5.5</v>
      </c>
      <c r="F488">
        <v>4</v>
      </c>
      <c r="G488" t="s">
        <v>32</v>
      </c>
      <c r="H488">
        <v>35</v>
      </c>
      <c r="I488" t="s">
        <v>33</v>
      </c>
    </row>
    <row r="489" spans="1:9" x14ac:dyDescent="0.25">
      <c r="A489" t="s">
        <v>26</v>
      </c>
      <c r="B489" t="s">
        <v>35</v>
      </c>
      <c r="C489">
        <v>33</v>
      </c>
      <c r="D489">
        <v>6</v>
      </c>
      <c r="E489">
        <v>13.92</v>
      </c>
      <c r="F489">
        <v>2</v>
      </c>
      <c r="G489" t="s">
        <v>32</v>
      </c>
      <c r="H489">
        <v>49</v>
      </c>
      <c r="I489" t="s">
        <v>29</v>
      </c>
    </row>
    <row r="490" spans="1:9" x14ac:dyDescent="0.25">
      <c r="A490" t="s">
        <v>34</v>
      </c>
      <c r="B490" t="s">
        <v>35</v>
      </c>
      <c r="C490">
        <v>32</v>
      </c>
      <c r="D490">
        <v>4</v>
      </c>
      <c r="E490">
        <v>9.3000000000000007</v>
      </c>
      <c r="F490">
        <v>4</v>
      </c>
      <c r="G490" t="s">
        <v>32</v>
      </c>
      <c r="H490">
        <v>40</v>
      </c>
      <c r="I490" t="s">
        <v>33</v>
      </c>
    </row>
    <row r="491" spans="1:9" x14ac:dyDescent="0.25">
      <c r="A491" t="s">
        <v>34</v>
      </c>
      <c r="B491" t="s">
        <v>35</v>
      </c>
      <c r="C491">
        <v>29</v>
      </c>
      <c r="D491">
        <v>7</v>
      </c>
      <c r="E491">
        <v>11.59</v>
      </c>
      <c r="F491">
        <v>4</v>
      </c>
      <c r="G491" t="s">
        <v>32</v>
      </c>
      <c r="H491">
        <v>53</v>
      </c>
      <c r="I491" t="s">
        <v>33</v>
      </c>
    </row>
    <row r="492" spans="1:9" x14ac:dyDescent="0.25">
      <c r="A492" t="s">
        <v>36</v>
      </c>
      <c r="B492" t="s">
        <v>35</v>
      </c>
      <c r="C492">
        <v>38</v>
      </c>
      <c r="D492">
        <v>10</v>
      </c>
      <c r="E492">
        <v>18.21</v>
      </c>
      <c r="F492">
        <v>3</v>
      </c>
      <c r="G492" t="s">
        <v>32</v>
      </c>
      <c r="H492">
        <v>42</v>
      </c>
      <c r="I492" t="s">
        <v>33</v>
      </c>
    </row>
    <row r="493" spans="1:9" x14ac:dyDescent="0.25">
      <c r="A493" t="s">
        <v>34</v>
      </c>
      <c r="B493" t="s">
        <v>31</v>
      </c>
      <c r="C493">
        <v>28</v>
      </c>
      <c r="D493">
        <v>6</v>
      </c>
      <c r="E493">
        <v>9.3699999999999992</v>
      </c>
      <c r="F493">
        <v>2</v>
      </c>
      <c r="G493" t="s">
        <v>32</v>
      </c>
      <c r="H493">
        <v>41</v>
      </c>
      <c r="I493" t="s">
        <v>33</v>
      </c>
    </row>
    <row r="494" spans="1:9" x14ac:dyDescent="0.25">
      <c r="A494" t="s">
        <v>34</v>
      </c>
      <c r="B494" t="s">
        <v>35</v>
      </c>
      <c r="C494">
        <v>30</v>
      </c>
      <c r="D494">
        <v>6</v>
      </c>
      <c r="E494">
        <v>12.05</v>
      </c>
      <c r="F494">
        <v>5</v>
      </c>
      <c r="G494" t="s">
        <v>32</v>
      </c>
      <c r="H494">
        <v>40</v>
      </c>
      <c r="I494" t="s">
        <v>33</v>
      </c>
    </row>
    <row r="495" spans="1:9" x14ac:dyDescent="0.25">
      <c r="A495" t="s">
        <v>26</v>
      </c>
      <c r="B495" t="s">
        <v>35</v>
      </c>
      <c r="C495">
        <v>36</v>
      </c>
      <c r="D495">
        <v>10</v>
      </c>
      <c r="E495">
        <v>18.5</v>
      </c>
      <c r="F495">
        <v>4</v>
      </c>
      <c r="G495" t="s">
        <v>28</v>
      </c>
      <c r="H495">
        <v>43</v>
      </c>
      <c r="I495" t="s">
        <v>29</v>
      </c>
    </row>
    <row r="496" spans="1:9" x14ac:dyDescent="0.25">
      <c r="A496" t="s">
        <v>39</v>
      </c>
      <c r="B496" t="s">
        <v>31</v>
      </c>
      <c r="C496">
        <v>27</v>
      </c>
      <c r="D496">
        <v>4</v>
      </c>
      <c r="E496">
        <v>12.22</v>
      </c>
      <c r="F496">
        <v>2</v>
      </c>
      <c r="G496" t="s">
        <v>8</v>
      </c>
      <c r="H496">
        <v>42</v>
      </c>
      <c r="I496" t="s">
        <v>29</v>
      </c>
    </row>
    <row r="497" spans="1:9" x14ac:dyDescent="0.25">
      <c r="A497" t="s">
        <v>34</v>
      </c>
      <c r="B497" t="s">
        <v>31</v>
      </c>
      <c r="C497">
        <v>28</v>
      </c>
      <c r="D497">
        <v>1</v>
      </c>
      <c r="E497">
        <v>6.31</v>
      </c>
      <c r="F497">
        <v>3</v>
      </c>
      <c r="G497" t="s">
        <v>32</v>
      </c>
      <c r="H497">
        <v>35</v>
      </c>
      <c r="I497" t="s">
        <v>29</v>
      </c>
    </row>
    <row r="498" spans="1:9" x14ac:dyDescent="0.25">
      <c r="A498" t="s">
        <v>37</v>
      </c>
      <c r="B498" t="s">
        <v>38</v>
      </c>
      <c r="C498">
        <v>35</v>
      </c>
      <c r="D498">
        <v>9</v>
      </c>
      <c r="E498">
        <v>10.63</v>
      </c>
      <c r="F498">
        <v>3</v>
      </c>
      <c r="G498" t="s">
        <v>32</v>
      </c>
      <c r="H498">
        <v>46</v>
      </c>
      <c r="I498" t="s">
        <v>29</v>
      </c>
    </row>
    <row r="499" spans="1:9" x14ac:dyDescent="0.25">
      <c r="A499" t="s">
        <v>34</v>
      </c>
      <c r="B499" t="s">
        <v>31</v>
      </c>
      <c r="C499">
        <v>32</v>
      </c>
      <c r="D499">
        <v>7</v>
      </c>
      <c r="E499">
        <v>8.08</v>
      </c>
      <c r="F499">
        <v>4</v>
      </c>
      <c r="G499" t="s">
        <v>32</v>
      </c>
      <c r="H499">
        <v>47</v>
      </c>
      <c r="I499" t="s">
        <v>33</v>
      </c>
    </row>
    <row r="500" spans="1:9" x14ac:dyDescent="0.25">
      <c r="A500" t="s">
        <v>30</v>
      </c>
      <c r="B500" t="s">
        <v>35</v>
      </c>
      <c r="C500">
        <v>41</v>
      </c>
      <c r="D500">
        <v>19</v>
      </c>
      <c r="E500">
        <v>29.18</v>
      </c>
      <c r="F500">
        <v>4</v>
      </c>
      <c r="G500" t="s">
        <v>32</v>
      </c>
      <c r="H500">
        <v>51</v>
      </c>
      <c r="I500" t="s">
        <v>33</v>
      </c>
    </row>
    <row r="501" spans="1:9" x14ac:dyDescent="0.25">
      <c r="A501" t="s">
        <v>34</v>
      </c>
      <c r="B501" t="s">
        <v>31</v>
      </c>
      <c r="C501">
        <v>32</v>
      </c>
      <c r="D501">
        <v>3</v>
      </c>
      <c r="E501">
        <v>6.67</v>
      </c>
      <c r="F501">
        <v>2</v>
      </c>
      <c r="G501" t="s">
        <v>28</v>
      </c>
      <c r="H501">
        <v>41</v>
      </c>
      <c r="I501" t="s">
        <v>33</v>
      </c>
    </row>
  </sheetData>
  <autoFilter ref="A1:A501" xr:uid="{897FDAC0-49A2-4A13-AADF-53B000CD5E2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A10D-C07F-46A1-877F-9AE855A96336}">
  <dimension ref="A1:F151"/>
  <sheetViews>
    <sheetView zoomScale="150" zoomScaleNormal="150" workbookViewId="0">
      <selection activeCell="K20" sqref="K20"/>
    </sheetView>
  </sheetViews>
  <sheetFormatPr defaultRowHeight="15" x14ac:dyDescent="0.25"/>
  <cols>
    <col min="5" max="5" width="10.28515625" bestFit="1" customWidth="1"/>
    <col min="6" max="6" width="17.85546875" bestFit="1" customWidth="1"/>
  </cols>
  <sheetData>
    <row r="1" spans="1:6" x14ac:dyDescent="0.25">
      <c r="A1" t="s">
        <v>41</v>
      </c>
      <c r="B1" t="s">
        <v>42</v>
      </c>
      <c r="E1" t="s">
        <v>52</v>
      </c>
      <c r="F1" t="s">
        <v>71</v>
      </c>
    </row>
    <row r="2" spans="1:6" x14ac:dyDescent="0.25">
      <c r="A2">
        <v>1</v>
      </c>
      <c r="B2" t="s">
        <v>43</v>
      </c>
      <c r="D2" t="str" cm="1">
        <f t="array" ref="D2:D5">_xlfn.UNIQUE(B2:B151)</f>
        <v>Fair</v>
      </c>
      <c r="E2">
        <f>COUNTIF(B2:B151,D2)</f>
        <v>26</v>
      </c>
      <c r="F2">
        <f>E2/E6*100</f>
        <v>17.333333333333336</v>
      </c>
    </row>
    <row r="3" spans="1:6" x14ac:dyDescent="0.25">
      <c r="A3">
        <v>2</v>
      </c>
      <c r="B3" t="s">
        <v>44</v>
      </c>
      <c r="D3" t="str">
        <v>Good</v>
      </c>
      <c r="E3">
        <f>COUNTIF(B2:B151,D3)</f>
        <v>75</v>
      </c>
      <c r="F3">
        <f>E3/E6*100</f>
        <v>50</v>
      </c>
    </row>
    <row r="4" spans="1:6" x14ac:dyDescent="0.25">
      <c r="A4">
        <v>3</v>
      </c>
      <c r="B4" t="s">
        <v>43</v>
      </c>
      <c r="D4" t="str">
        <v>Excellent</v>
      </c>
      <c r="E4">
        <f>COUNTIF(B2:B151,D4)</f>
        <v>31</v>
      </c>
      <c r="F4">
        <f>E4/E6*100</f>
        <v>20.666666666666668</v>
      </c>
    </row>
    <row r="5" spans="1:6" x14ac:dyDescent="0.25">
      <c r="A5">
        <v>4</v>
      </c>
      <c r="B5" t="s">
        <v>45</v>
      </c>
      <c r="D5" t="str">
        <v>Poor</v>
      </c>
      <c r="E5">
        <f>COUNTIF(B2:B151,D5)</f>
        <v>18</v>
      </c>
      <c r="F5">
        <f>E5/E6*100</f>
        <v>12</v>
      </c>
    </row>
    <row r="6" spans="1:6" x14ac:dyDescent="0.25">
      <c r="A6">
        <v>5</v>
      </c>
      <c r="B6" t="s">
        <v>44</v>
      </c>
      <c r="D6" t="s">
        <v>70</v>
      </c>
      <c r="E6">
        <f>SUM(E2:E5)</f>
        <v>150</v>
      </c>
    </row>
    <row r="7" spans="1:6" x14ac:dyDescent="0.25">
      <c r="A7">
        <v>6</v>
      </c>
      <c r="B7" t="s">
        <v>44</v>
      </c>
    </row>
    <row r="8" spans="1:6" x14ac:dyDescent="0.25">
      <c r="A8">
        <v>7</v>
      </c>
      <c r="B8" t="s">
        <v>44</v>
      </c>
    </row>
    <row r="9" spans="1:6" x14ac:dyDescent="0.25">
      <c r="A9">
        <v>8</v>
      </c>
      <c r="B9" t="s">
        <v>46</v>
      </c>
    </row>
    <row r="10" spans="1:6" x14ac:dyDescent="0.25">
      <c r="A10">
        <v>9</v>
      </c>
      <c r="B10" t="s">
        <v>45</v>
      </c>
    </row>
    <row r="11" spans="1:6" x14ac:dyDescent="0.25">
      <c r="A11">
        <v>10</v>
      </c>
      <c r="B11" t="s">
        <v>45</v>
      </c>
    </row>
    <row r="12" spans="1:6" x14ac:dyDescent="0.25">
      <c r="A12">
        <v>11</v>
      </c>
      <c r="B12" t="s">
        <v>46</v>
      </c>
    </row>
    <row r="13" spans="1:6" x14ac:dyDescent="0.25">
      <c r="A13">
        <v>12</v>
      </c>
      <c r="B13" t="s">
        <v>44</v>
      </c>
    </row>
    <row r="14" spans="1:6" x14ac:dyDescent="0.25">
      <c r="A14">
        <v>13</v>
      </c>
      <c r="B14" t="s">
        <v>43</v>
      </c>
    </row>
    <row r="15" spans="1:6" x14ac:dyDescent="0.25">
      <c r="A15">
        <v>14</v>
      </c>
      <c r="B15" t="s">
        <v>44</v>
      </c>
    </row>
    <row r="16" spans="1:6" x14ac:dyDescent="0.25">
      <c r="A16">
        <v>15</v>
      </c>
      <c r="B16" t="s">
        <v>44</v>
      </c>
    </row>
    <row r="17" spans="1:2" x14ac:dyDescent="0.25">
      <c r="A17">
        <v>16</v>
      </c>
      <c r="B17" t="s">
        <v>44</v>
      </c>
    </row>
    <row r="18" spans="1:2" x14ac:dyDescent="0.25">
      <c r="A18">
        <v>17</v>
      </c>
      <c r="B18" t="s">
        <v>44</v>
      </c>
    </row>
    <row r="19" spans="1:2" x14ac:dyDescent="0.25">
      <c r="A19">
        <v>18</v>
      </c>
      <c r="B19" t="s">
        <v>46</v>
      </c>
    </row>
    <row r="20" spans="1:2" x14ac:dyDescent="0.25">
      <c r="A20">
        <v>19</v>
      </c>
      <c r="B20" t="s">
        <v>43</v>
      </c>
    </row>
    <row r="21" spans="1:2" x14ac:dyDescent="0.25">
      <c r="A21">
        <v>20</v>
      </c>
      <c r="B21" t="s">
        <v>45</v>
      </c>
    </row>
    <row r="22" spans="1:2" x14ac:dyDescent="0.25">
      <c r="A22">
        <v>21</v>
      </c>
      <c r="B22" t="s">
        <v>45</v>
      </c>
    </row>
    <row r="23" spans="1:2" x14ac:dyDescent="0.25">
      <c r="A23">
        <v>22</v>
      </c>
      <c r="B23" t="s">
        <v>44</v>
      </c>
    </row>
    <row r="24" spans="1:2" x14ac:dyDescent="0.25">
      <c r="A24">
        <v>23</v>
      </c>
      <c r="B24" t="s">
        <v>44</v>
      </c>
    </row>
    <row r="25" spans="1:2" x14ac:dyDescent="0.25">
      <c r="A25">
        <v>24</v>
      </c>
      <c r="B25" t="s">
        <v>44</v>
      </c>
    </row>
    <row r="26" spans="1:2" x14ac:dyDescent="0.25">
      <c r="A26">
        <v>25</v>
      </c>
      <c r="B26" t="s">
        <v>43</v>
      </c>
    </row>
    <row r="27" spans="1:2" x14ac:dyDescent="0.25">
      <c r="A27">
        <v>26</v>
      </c>
      <c r="B27" t="s">
        <v>44</v>
      </c>
    </row>
    <row r="28" spans="1:2" x14ac:dyDescent="0.25">
      <c r="A28">
        <v>27</v>
      </c>
      <c r="B28" t="s">
        <v>43</v>
      </c>
    </row>
    <row r="29" spans="1:2" x14ac:dyDescent="0.25">
      <c r="A29">
        <v>28</v>
      </c>
      <c r="B29" t="s">
        <v>45</v>
      </c>
    </row>
    <row r="30" spans="1:2" x14ac:dyDescent="0.25">
      <c r="A30">
        <v>29</v>
      </c>
      <c r="B30" t="s">
        <v>44</v>
      </c>
    </row>
    <row r="31" spans="1:2" x14ac:dyDescent="0.25">
      <c r="A31">
        <v>30</v>
      </c>
      <c r="B31" t="s">
        <v>44</v>
      </c>
    </row>
    <row r="32" spans="1:2" x14ac:dyDescent="0.25">
      <c r="A32">
        <v>31</v>
      </c>
      <c r="B32" t="s">
        <v>44</v>
      </c>
    </row>
    <row r="33" spans="1:2" x14ac:dyDescent="0.25">
      <c r="A33">
        <v>32</v>
      </c>
      <c r="B33" t="s">
        <v>46</v>
      </c>
    </row>
    <row r="34" spans="1:2" x14ac:dyDescent="0.25">
      <c r="A34">
        <v>33</v>
      </c>
      <c r="B34" t="s">
        <v>45</v>
      </c>
    </row>
    <row r="35" spans="1:2" x14ac:dyDescent="0.25">
      <c r="A35">
        <v>34</v>
      </c>
      <c r="B35" t="s">
        <v>45</v>
      </c>
    </row>
    <row r="36" spans="1:2" x14ac:dyDescent="0.25">
      <c r="A36">
        <v>35</v>
      </c>
      <c r="B36" t="s">
        <v>46</v>
      </c>
    </row>
    <row r="37" spans="1:2" x14ac:dyDescent="0.25">
      <c r="A37">
        <v>36</v>
      </c>
      <c r="B37" t="s">
        <v>44</v>
      </c>
    </row>
    <row r="38" spans="1:2" x14ac:dyDescent="0.25">
      <c r="A38">
        <v>37</v>
      </c>
      <c r="B38" t="s">
        <v>43</v>
      </c>
    </row>
    <row r="39" spans="1:2" x14ac:dyDescent="0.25">
      <c r="A39">
        <v>38</v>
      </c>
      <c r="B39" t="s">
        <v>44</v>
      </c>
    </row>
    <row r="40" spans="1:2" x14ac:dyDescent="0.25">
      <c r="A40">
        <v>39</v>
      </c>
      <c r="B40" t="s">
        <v>44</v>
      </c>
    </row>
    <row r="41" spans="1:2" x14ac:dyDescent="0.25">
      <c r="A41">
        <v>40</v>
      </c>
      <c r="B41" t="s">
        <v>44</v>
      </c>
    </row>
    <row r="42" spans="1:2" x14ac:dyDescent="0.25">
      <c r="A42">
        <v>41</v>
      </c>
      <c r="B42" t="s">
        <v>44</v>
      </c>
    </row>
    <row r="43" spans="1:2" x14ac:dyDescent="0.25">
      <c r="A43">
        <v>42</v>
      </c>
      <c r="B43" t="s">
        <v>46</v>
      </c>
    </row>
    <row r="44" spans="1:2" x14ac:dyDescent="0.25">
      <c r="A44">
        <v>43</v>
      </c>
      <c r="B44" t="s">
        <v>43</v>
      </c>
    </row>
    <row r="45" spans="1:2" x14ac:dyDescent="0.25">
      <c r="A45">
        <v>44</v>
      </c>
      <c r="B45" t="s">
        <v>45</v>
      </c>
    </row>
    <row r="46" spans="1:2" x14ac:dyDescent="0.25">
      <c r="A46">
        <v>45</v>
      </c>
      <c r="B46" t="s">
        <v>45</v>
      </c>
    </row>
    <row r="47" spans="1:2" x14ac:dyDescent="0.25">
      <c r="A47">
        <v>46</v>
      </c>
      <c r="B47" t="s">
        <v>44</v>
      </c>
    </row>
    <row r="48" spans="1:2" x14ac:dyDescent="0.25">
      <c r="A48">
        <v>47</v>
      </c>
      <c r="B48" t="s">
        <v>44</v>
      </c>
    </row>
    <row r="49" spans="1:2" x14ac:dyDescent="0.25">
      <c r="A49">
        <v>48</v>
      </c>
      <c r="B49" t="s">
        <v>44</v>
      </c>
    </row>
    <row r="50" spans="1:2" x14ac:dyDescent="0.25">
      <c r="A50">
        <v>49</v>
      </c>
      <c r="B50" t="s">
        <v>43</v>
      </c>
    </row>
    <row r="51" spans="1:2" x14ac:dyDescent="0.25">
      <c r="A51">
        <v>50</v>
      </c>
      <c r="B51" t="s">
        <v>44</v>
      </c>
    </row>
    <row r="52" spans="1:2" x14ac:dyDescent="0.25">
      <c r="A52">
        <v>51</v>
      </c>
      <c r="B52" t="s">
        <v>43</v>
      </c>
    </row>
    <row r="53" spans="1:2" x14ac:dyDescent="0.25">
      <c r="A53">
        <v>52</v>
      </c>
      <c r="B53" t="s">
        <v>45</v>
      </c>
    </row>
    <row r="54" spans="1:2" x14ac:dyDescent="0.25">
      <c r="A54">
        <v>53</v>
      </c>
      <c r="B54" t="s">
        <v>44</v>
      </c>
    </row>
    <row r="55" spans="1:2" x14ac:dyDescent="0.25">
      <c r="A55">
        <v>54</v>
      </c>
      <c r="B55" t="s">
        <v>44</v>
      </c>
    </row>
    <row r="56" spans="1:2" x14ac:dyDescent="0.25">
      <c r="A56">
        <v>55</v>
      </c>
      <c r="B56" t="s">
        <v>44</v>
      </c>
    </row>
    <row r="57" spans="1:2" x14ac:dyDescent="0.25">
      <c r="A57">
        <v>56</v>
      </c>
      <c r="B57" t="s">
        <v>46</v>
      </c>
    </row>
    <row r="58" spans="1:2" x14ac:dyDescent="0.25">
      <c r="A58">
        <v>57</v>
      </c>
      <c r="B58" t="s">
        <v>45</v>
      </c>
    </row>
    <row r="59" spans="1:2" x14ac:dyDescent="0.25">
      <c r="A59">
        <v>58</v>
      </c>
      <c r="B59" t="s">
        <v>45</v>
      </c>
    </row>
    <row r="60" spans="1:2" x14ac:dyDescent="0.25">
      <c r="A60">
        <v>59</v>
      </c>
      <c r="B60" t="s">
        <v>46</v>
      </c>
    </row>
    <row r="61" spans="1:2" x14ac:dyDescent="0.25">
      <c r="A61">
        <v>60</v>
      </c>
      <c r="B61" t="s">
        <v>44</v>
      </c>
    </row>
    <row r="62" spans="1:2" x14ac:dyDescent="0.25">
      <c r="A62">
        <v>61</v>
      </c>
      <c r="B62" t="s">
        <v>43</v>
      </c>
    </row>
    <row r="63" spans="1:2" x14ac:dyDescent="0.25">
      <c r="A63">
        <v>62</v>
      </c>
      <c r="B63" t="s">
        <v>44</v>
      </c>
    </row>
    <row r="64" spans="1:2" x14ac:dyDescent="0.25">
      <c r="A64">
        <v>63</v>
      </c>
      <c r="B64" t="s">
        <v>44</v>
      </c>
    </row>
    <row r="65" spans="1:2" x14ac:dyDescent="0.25">
      <c r="A65">
        <v>64</v>
      </c>
      <c r="B65" t="s">
        <v>44</v>
      </c>
    </row>
    <row r="66" spans="1:2" x14ac:dyDescent="0.25">
      <c r="A66">
        <v>65</v>
      </c>
      <c r="B66" t="s">
        <v>44</v>
      </c>
    </row>
    <row r="67" spans="1:2" x14ac:dyDescent="0.25">
      <c r="A67">
        <v>66</v>
      </c>
      <c r="B67" t="s">
        <v>46</v>
      </c>
    </row>
    <row r="68" spans="1:2" x14ac:dyDescent="0.25">
      <c r="A68">
        <v>67</v>
      </c>
      <c r="B68" t="s">
        <v>43</v>
      </c>
    </row>
    <row r="69" spans="1:2" x14ac:dyDescent="0.25">
      <c r="A69">
        <v>68</v>
      </c>
      <c r="B69" t="s">
        <v>45</v>
      </c>
    </row>
    <row r="70" spans="1:2" x14ac:dyDescent="0.25">
      <c r="A70">
        <v>69</v>
      </c>
      <c r="B70" t="s">
        <v>45</v>
      </c>
    </row>
    <row r="71" spans="1:2" x14ac:dyDescent="0.25">
      <c r="A71">
        <v>70</v>
      </c>
      <c r="B71" t="s">
        <v>44</v>
      </c>
    </row>
    <row r="72" spans="1:2" x14ac:dyDescent="0.25">
      <c r="A72">
        <v>71</v>
      </c>
      <c r="B72" t="s">
        <v>44</v>
      </c>
    </row>
    <row r="73" spans="1:2" x14ac:dyDescent="0.25">
      <c r="A73">
        <v>72</v>
      </c>
      <c r="B73" t="s">
        <v>44</v>
      </c>
    </row>
    <row r="74" spans="1:2" x14ac:dyDescent="0.25">
      <c r="A74">
        <v>73</v>
      </c>
      <c r="B74" t="s">
        <v>43</v>
      </c>
    </row>
    <row r="75" spans="1:2" x14ac:dyDescent="0.25">
      <c r="A75">
        <v>74</v>
      </c>
      <c r="B75" t="s">
        <v>44</v>
      </c>
    </row>
    <row r="76" spans="1:2" x14ac:dyDescent="0.25">
      <c r="A76">
        <v>75</v>
      </c>
      <c r="B76" t="s">
        <v>43</v>
      </c>
    </row>
    <row r="77" spans="1:2" x14ac:dyDescent="0.25">
      <c r="A77">
        <v>76</v>
      </c>
      <c r="B77" t="s">
        <v>45</v>
      </c>
    </row>
    <row r="78" spans="1:2" x14ac:dyDescent="0.25">
      <c r="A78">
        <v>77</v>
      </c>
      <c r="B78" t="s">
        <v>44</v>
      </c>
    </row>
    <row r="79" spans="1:2" x14ac:dyDescent="0.25">
      <c r="A79">
        <v>78</v>
      </c>
      <c r="B79" t="s">
        <v>44</v>
      </c>
    </row>
    <row r="80" spans="1:2" x14ac:dyDescent="0.25">
      <c r="A80">
        <v>79</v>
      </c>
      <c r="B80" t="s">
        <v>44</v>
      </c>
    </row>
    <row r="81" spans="1:2" x14ac:dyDescent="0.25">
      <c r="A81">
        <v>80</v>
      </c>
      <c r="B81" t="s">
        <v>46</v>
      </c>
    </row>
    <row r="82" spans="1:2" x14ac:dyDescent="0.25">
      <c r="A82">
        <v>81</v>
      </c>
      <c r="B82" t="s">
        <v>45</v>
      </c>
    </row>
    <row r="83" spans="1:2" x14ac:dyDescent="0.25">
      <c r="A83">
        <v>82</v>
      </c>
      <c r="B83" t="s">
        <v>45</v>
      </c>
    </row>
    <row r="84" spans="1:2" x14ac:dyDescent="0.25">
      <c r="A84">
        <v>83</v>
      </c>
      <c r="B84" t="s">
        <v>46</v>
      </c>
    </row>
    <row r="85" spans="1:2" x14ac:dyDescent="0.25">
      <c r="A85">
        <v>84</v>
      </c>
      <c r="B85" t="s">
        <v>44</v>
      </c>
    </row>
    <row r="86" spans="1:2" x14ac:dyDescent="0.25">
      <c r="A86">
        <v>85</v>
      </c>
      <c r="B86" t="s">
        <v>43</v>
      </c>
    </row>
    <row r="87" spans="1:2" x14ac:dyDescent="0.25">
      <c r="A87">
        <v>86</v>
      </c>
      <c r="B87" t="s">
        <v>44</v>
      </c>
    </row>
    <row r="88" spans="1:2" x14ac:dyDescent="0.25">
      <c r="A88">
        <v>87</v>
      </c>
      <c r="B88" t="s">
        <v>44</v>
      </c>
    </row>
    <row r="89" spans="1:2" x14ac:dyDescent="0.25">
      <c r="A89">
        <v>88</v>
      </c>
      <c r="B89" t="s">
        <v>44</v>
      </c>
    </row>
    <row r="90" spans="1:2" x14ac:dyDescent="0.25">
      <c r="A90">
        <v>89</v>
      </c>
      <c r="B90" t="s">
        <v>44</v>
      </c>
    </row>
    <row r="91" spans="1:2" x14ac:dyDescent="0.25">
      <c r="A91">
        <v>90</v>
      </c>
      <c r="B91" t="s">
        <v>46</v>
      </c>
    </row>
    <row r="92" spans="1:2" x14ac:dyDescent="0.25">
      <c r="A92">
        <v>91</v>
      </c>
      <c r="B92" t="s">
        <v>43</v>
      </c>
    </row>
    <row r="93" spans="1:2" x14ac:dyDescent="0.25">
      <c r="A93">
        <v>92</v>
      </c>
      <c r="B93" t="s">
        <v>45</v>
      </c>
    </row>
    <row r="94" spans="1:2" x14ac:dyDescent="0.25">
      <c r="A94">
        <v>93</v>
      </c>
      <c r="B94" t="s">
        <v>45</v>
      </c>
    </row>
    <row r="95" spans="1:2" x14ac:dyDescent="0.25">
      <c r="A95">
        <v>94</v>
      </c>
      <c r="B95" t="s">
        <v>44</v>
      </c>
    </row>
    <row r="96" spans="1:2" x14ac:dyDescent="0.25">
      <c r="A96">
        <v>95</v>
      </c>
      <c r="B96" t="s">
        <v>44</v>
      </c>
    </row>
    <row r="97" spans="1:2" x14ac:dyDescent="0.25">
      <c r="A97">
        <v>96</v>
      </c>
      <c r="B97" t="s">
        <v>44</v>
      </c>
    </row>
    <row r="98" spans="1:2" x14ac:dyDescent="0.25">
      <c r="A98">
        <v>97</v>
      </c>
      <c r="B98" t="s">
        <v>43</v>
      </c>
    </row>
    <row r="99" spans="1:2" x14ac:dyDescent="0.25">
      <c r="A99">
        <v>98</v>
      </c>
      <c r="B99" t="s">
        <v>44</v>
      </c>
    </row>
    <row r="100" spans="1:2" x14ac:dyDescent="0.25">
      <c r="A100">
        <v>99</v>
      </c>
      <c r="B100" t="s">
        <v>43</v>
      </c>
    </row>
    <row r="101" spans="1:2" x14ac:dyDescent="0.25">
      <c r="A101">
        <v>100</v>
      </c>
      <c r="B101" t="s">
        <v>45</v>
      </c>
    </row>
    <row r="102" spans="1:2" x14ac:dyDescent="0.25">
      <c r="A102">
        <v>101</v>
      </c>
      <c r="B102" t="s">
        <v>44</v>
      </c>
    </row>
    <row r="103" spans="1:2" x14ac:dyDescent="0.25">
      <c r="A103">
        <v>102</v>
      </c>
      <c r="B103" t="s">
        <v>44</v>
      </c>
    </row>
    <row r="104" spans="1:2" x14ac:dyDescent="0.25">
      <c r="A104">
        <v>103</v>
      </c>
      <c r="B104" t="s">
        <v>44</v>
      </c>
    </row>
    <row r="105" spans="1:2" x14ac:dyDescent="0.25">
      <c r="A105">
        <v>104</v>
      </c>
      <c r="B105" t="s">
        <v>46</v>
      </c>
    </row>
    <row r="106" spans="1:2" x14ac:dyDescent="0.25">
      <c r="A106">
        <v>105</v>
      </c>
      <c r="B106" t="s">
        <v>45</v>
      </c>
    </row>
    <row r="107" spans="1:2" x14ac:dyDescent="0.25">
      <c r="A107">
        <v>106</v>
      </c>
      <c r="B107" t="s">
        <v>45</v>
      </c>
    </row>
    <row r="108" spans="1:2" x14ac:dyDescent="0.25">
      <c r="A108">
        <v>107</v>
      </c>
      <c r="B108" t="s">
        <v>46</v>
      </c>
    </row>
    <row r="109" spans="1:2" x14ac:dyDescent="0.25">
      <c r="A109">
        <v>108</v>
      </c>
      <c r="B109" t="s">
        <v>44</v>
      </c>
    </row>
    <row r="110" spans="1:2" x14ac:dyDescent="0.25">
      <c r="A110">
        <v>109</v>
      </c>
      <c r="B110" t="s">
        <v>43</v>
      </c>
    </row>
    <row r="111" spans="1:2" x14ac:dyDescent="0.25">
      <c r="A111">
        <v>110</v>
      </c>
      <c r="B111" t="s">
        <v>44</v>
      </c>
    </row>
    <row r="112" spans="1:2" x14ac:dyDescent="0.25">
      <c r="A112">
        <v>111</v>
      </c>
      <c r="B112" t="s">
        <v>44</v>
      </c>
    </row>
    <row r="113" spans="1:2" x14ac:dyDescent="0.25">
      <c r="A113">
        <v>112</v>
      </c>
      <c r="B113" t="s">
        <v>44</v>
      </c>
    </row>
    <row r="114" spans="1:2" x14ac:dyDescent="0.25">
      <c r="A114">
        <v>113</v>
      </c>
      <c r="B114" t="s">
        <v>44</v>
      </c>
    </row>
    <row r="115" spans="1:2" x14ac:dyDescent="0.25">
      <c r="A115">
        <v>114</v>
      </c>
      <c r="B115" t="s">
        <v>46</v>
      </c>
    </row>
    <row r="116" spans="1:2" x14ac:dyDescent="0.25">
      <c r="A116">
        <v>115</v>
      </c>
      <c r="B116" t="s">
        <v>43</v>
      </c>
    </row>
    <row r="117" spans="1:2" x14ac:dyDescent="0.25">
      <c r="A117">
        <v>116</v>
      </c>
      <c r="B117" t="s">
        <v>45</v>
      </c>
    </row>
    <row r="118" spans="1:2" x14ac:dyDescent="0.25">
      <c r="A118">
        <v>117</v>
      </c>
      <c r="B118" t="s">
        <v>45</v>
      </c>
    </row>
    <row r="119" spans="1:2" x14ac:dyDescent="0.25">
      <c r="A119">
        <v>118</v>
      </c>
      <c r="B119" t="s">
        <v>44</v>
      </c>
    </row>
    <row r="120" spans="1:2" x14ac:dyDescent="0.25">
      <c r="A120">
        <v>119</v>
      </c>
      <c r="B120" t="s">
        <v>44</v>
      </c>
    </row>
    <row r="121" spans="1:2" x14ac:dyDescent="0.25">
      <c r="A121">
        <v>120</v>
      </c>
      <c r="B121" t="s">
        <v>44</v>
      </c>
    </row>
    <row r="122" spans="1:2" x14ac:dyDescent="0.25">
      <c r="A122">
        <v>121</v>
      </c>
      <c r="B122" t="s">
        <v>43</v>
      </c>
    </row>
    <row r="123" spans="1:2" x14ac:dyDescent="0.25">
      <c r="A123">
        <v>122</v>
      </c>
      <c r="B123" t="s">
        <v>44</v>
      </c>
    </row>
    <row r="124" spans="1:2" x14ac:dyDescent="0.25">
      <c r="A124">
        <v>123</v>
      </c>
      <c r="B124" t="s">
        <v>43</v>
      </c>
    </row>
    <row r="125" spans="1:2" x14ac:dyDescent="0.25">
      <c r="A125">
        <v>124</v>
      </c>
      <c r="B125" t="s">
        <v>45</v>
      </c>
    </row>
    <row r="126" spans="1:2" x14ac:dyDescent="0.25">
      <c r="A126">
        <v>125</v>
      </c>
      <c r="B126" t="s">
        <v>44</v>
      </c>
    </row>
    <row r="127" spans="1:2" x14ac:dyDescent="0.25">
      <c r="A127">
        <v>126</v>
      </c>
      <c r="B127" t="s">
        <v>44</v>
      </c>
    </row>
    <row r="128" spans="1:2" x14ac:dyDescent="0.25">
      <c r="A128">
        <v>127</v>
      </c>
      <c r="B128" t="s">
        <v>44</v>
      </c>
    </row>
    <row r="129" spans="1:2" x14ac:dyDescent="0.25">
      <c r="A129">
        <v>128</v>
      </c>
      <c r="B129" t="s">
        <v>46</v>
      </c>
    </row>
    <row r="130" spans="1:2" x14ac:dyDescent="0.25">
      <c r="A130">
        <v>129</v>
      </c>
      <c r="B130" t="s">
        <v>45</v>
      </c>
    </row>
    <row r="131" spans="1:2" x14ac:dyDescent="0.25">
      <c r="A131">
        <v>130</v>
      </c>
      <c r="B131" t="s">
        <v>45</v>
      </c>
    </row>
    <row r="132" spans="1:2" x14ac:dyDescent="0.25">
      <c r="A132">
        <v>131</v>
      </c>
      <c r="B132" t="s">
        <v>46</v>
      </c>
    </row>
    <row r="133" spans="1:2" x14ac:dyDescent="0.25">
      <c r="A133">
        <v>132</v>
      </c>
      <c r="B133" t="s">
        <v>44</v>
      </c>
    </row>
    <row r="134" spans="1:2" x14ac:dyDescent="0.25">
      <c r="A134">
        <v>133</v>
      </c>
      <c r="B134" t="s">
        <v>43</v>
      </c>
    </row>
    <row r="135" spans="1:2" x14ac:dyDescent="0.25">
      <c r="A135">
        <v>134</v>
      </c>
      <c r="B135" t="s">
        <v>44</v>
      </c>
    </row>
    <row r="136" spans="1:2" x14ac:dyDescent="0.25">
      <c r="A136">
        <v>135</v>
      </c>
      <c r="B136" t="s">
        <v>44</v>
      </c>
    </row>
    <row r="137" spans="1:2" x14ac:dyDescent="0.25">
      <c r="A137">
        <v>136</v>
      </c>
      <c r="B137" t="s">
        <v>44</v>
      </c>
    </row>
    <row r="138" spans="1:2" x14ac:dyDescent="0.25">
      <c r="A138">
        <v>137</v>
      </c>
      <c r="B138" t="s">
        <v>44</v>
      </c>
    </row>
    <row r="139" spans="1:2" x14ac:dyDescent="0.25">
      <c r="A139">
        <v>138</v>
      </c>
      <c r="B139" t="s">
        <v>46</v>
      </c>
    </row>
    <row r="140" spans="1:2" x14ac:dyDescent="0.25">
      <c r="A140">
        <v>139</v>
      </c>
      <c r="B140" t="s">
        <v>43</v>
      </c>
    </row>
    <row r="141" spans="1:2" x14ac:dyDescent="0.25">
      <c r="A141">
        <v>140</v>
      </c>
      <c r="B141" t="s">
        <v>45</v>
      </c>
    </row>
    <row r="142" spans="1:2" x14ac:dyDescent="0.25">
      <c r="A142">
        <v>141</v>
      </c>
      <c r="B142" t="s">
        <v>45</v>
      </c>
    </row>
    <row r="143" spans="1:2" x14ac:dyDescent="0.25">
      <c r="A143">
        <v>142</v>
      </c>
      <c r="B143" t="s">
        <v>44</v>
      </c>
    </row>
    <row r="144" spans="1:2" x14ac:dyDescent="0.25">
      <c r="A144">
        <v>143</v>
      </c>
      <c r="B144" t="s">
        <v>44</v>
      </c>
    </row>
    <row r="145" spans="1:2" x14ac:dyDescent="0.25">
      <c r="A145">
        <v>144</v>
      </c>
      <c r="B145" t="s">
        <v>44</v>
      </c>
    </row>
    <row r="146" spans="1:2" x14ac:dyDescent="0.25">
      <c r="A146">
        <v>145</v>
      </c>
      <c r="B146" t="s">
        <v>43</v>
      </c>
    </row>
    <row r="147" spans="1:2" x14ac:dyDescent="0.25">
      <c r="A147">
        <v>146</v>
      </c>
      <c r="B147" t="s">
        <v>44</v>
      </c>
    </row>
    <row r="148" spans="1:2" x14ac:dyDescent="0.25">
      <c r="A148">
        <v>147</v>
      </c>
      <c r="B148" t="s">
        <v>43</v>
      </c>
    </row>
    <row r="149" spans="1:2" x14ac:dyDescent="0.25">
      <c r="A149">
        <v>148</v>
      </c>
      <c r="B149" t="s">
        <v>45</v>
      </c>
    </row>
    <row r="150" spans="1:2" x14ac:dyDescent="0.25">
      <c r="A150">
        <v>149</v>
      </c>
      <c r="B150" t="s">
        <v>44</v>
      </c>
    </row>
    <row r="151" spans="1:2" x14ac:dyDescent="0.25">
      <c r="A151">
        <v>150</v>
      </c>
      <c r="B151" t="s">
        <v>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3D3B-3585-4ACB-841E-B71E0E532843}">
  <dimension ref="A1:F601"/>
  <sheetViews>
    <sheetView topLeftCell="A4" workbookViewId="0">
      <selection activeCell="F2" sqref="F2"/>
    </sheetView>
  </sheetViews>
  <sheetFormatPr defaultRowHeight="15" x14ac:dyDescent="0.25"/>
  <cols>
    <col min="1" max="1" width="13.85546875" customWidth="1"/>
    <col min="2" max="2" width="24.42578125" customWidth="1"/>
    <col min="4" max="4" width="19.28515625" bestFit="1" customWidth="1"/>
    <col min="5" max="5" width="10.28515625" bestFit="1" customWidth="1"/>
    <col min="6" max="6" width="17.85546875" bestFit="1" customWidth="1"/>
  </cols>
  <sheetData>
    <row r="1" spans="1:6" x14ac:dyDescent="0.25">
      <c r="A1" s="2" t="s">
        <v>41</v>
      </c>
      <c r="B1" s="3" t="s">
        <v>47</v>
      </c>
      <c r="E1" t="s">
        <v>52</v>
      </c>
      <c r="F1" t="s">
        <v>71</v>
      </c>
    </row>
    <row r="2" spans="1:6" x14ac:dyDescent="0.25">
      <c r="A2" s="2">
        <v>1</v>
      </c>
      <c r="B2" s="2" t="s">
        <v>48</v>
      </c>
      <c r="D2" t="str" cm="1">
        <f t="array" ref="D2:D5">_xlfn.UNIQUE(B2:B601)</f>
        <v>Slightly Religious</v>
      </c>
      <c r="E2">
        <f>COUNTIF(B2:B601,D2)</f>
        <v>129</v>
      </c>
      <c r="F2">
        <f>E2/E6*100</f>
        <v>21.5</v>
      </c>
    </row>
    <row r="3" spans="1:6" x14ac:dyDescent="0.25">
      <c r="A3" s="2">
        <v>2</v>
      </c>
      <c r="B3" s="2" t="s">
        <v>48</v>
      </c>
      <c r="D3" t="str">
        <v>Not Religious</v>
      </c>
      <c r="E3">
        <f>COUNTIF(B2:B601,D3)</f>
        <v>210</v>
      </c>
      <c r="F3">
        <f>E3/E6*100</f>
        <v>35</v>
      </c>
    </row>
    <row r="4" spans="1:6" x14ac:dyDescent="0.25">
      <c r="A4" s="2">
        <v>3</v>
      </c>
      <c r="B4" s="2" t="s">
        <v>48</v>
      </c>
      <c r="D4" t="str">
        <v>Very Religious</v>
      </c>
      <c r="E4">
        <f>COUNTIF(B2:B601,D4)</f>
        <v>78</v>
      </c>
      <c r="F4">
        <f>E4/E6*100</f>
        <v>13</v>
      </c>
    </row>
    <row r="5" spans="1:6" x14ac:dyDescent="0.25">
      <c r="A5" s="2">
        <v>4</v>
      </c>
      <c r="B5" s="2" t="s">
        <v>49</v>
      </c>
      <c r="D5" t="str">
        <v>Somewhat Religious</v>
      </c>
      <c r="E5">
        <f>COUNTIF(B2:B601,D5)</f>
        <v>183</v>
      </c>
      <c r="F5">
        <f>E5/E6*100</f>
        <v>30.5</v>
      </c>
    </row>
    <row r="6" spans="1:6" x14ac:dyDescent="0.25">
      <c r="A6" s="2">
        <v>5</v>
      </c>
      <c r="B6" s="2" t="s">
        <v>48</v>
      </c>
      <c r="D6" t="s">
        <v>70</v>
      </c>
      <c r="E6">
        <f>SUM(E2:E5)</f>
        <v>600</v>
      </c>
    </row>
    <row r="7" spans="1:6" x14ac:dyDescent="0.25">
      <c r="A7" s="2">
        <v>6</v>
      </c>
      <c r="B7" s="2" t="s">
        <v>50</v>
      </c>
    </row>
    <row r="8" spans="1:6" x14ac:dyDescent="0.25">
      <c r="A8" s="2">
        <v>7</v>
      </c>
      <c r="B8" s="2" t="s">
        <v>49</v>
      </c>
    </row>
    <row r="9" spans="1:6" x14ac:dyDescent="0.25">
      <c r="A9" s="2">
        <v>8</v>
      </c>
      <c r="B9" s="2" t="s">
        <v>49</v>
      </c>
    </row>
    <row r="10" spans="1:6" x14ac:dyDescent="0.25">
      <c r="A10" s="2">
        <v>9</v>
      </c>
      <c r="B10" s="2" t="s">
        <v>48</v>
      </c>
    </row>
    <row r="11" spans="1:6" x14ac:dyDescent="0.25">
      <c r="A11" s="2">
        <v>10</v>
      </c>
      <c r="B11" s="2" t="s">
        <v>49</v>
      </c>
    </row>
    <row r="12" spans="1:6" x14ac:dyDescent="0.25">
      <c r="A12" s="2">
        <v>11</v>
      </c>
      <c r="B12" s="2" t="s">
        <v>49</v>
      </c>
    </row>
    <row r="13" spans="1:6" x14ac:dyDescent="0.25">
      <c r="A13" s="2">
        <v>12</v>
      </c>
      <c r="B13" s="2" t="s">
        <v>51</v>
      </c>
    </row>
    <row r="14" spans="1:6" x14ac:dyDescent="0.25">
      <c r="A14" s="2">
        <v>13</v>
      </c>
      <c r="B14" s="2" t="s">
        <v>51</v>
      </c>
    </row>
    <row r="15" spans="1:6" x14ac:dyDescent="0.25">
      <c r="A15" s="2">
        <v>14</v>
      </c>
      <c r="B15" s="2" t="s">
        <v>49</v>
      </c>
    </row>
    <row r="16" spans="1:6" x14ac:dyDescent="0.25">
      <c r="A16" s="2">
        <v>15</v>
      </c>
      <c r="B16" s="2" t="s">
        <v>48</v>
      </c>
    </row>
    <row r="17" spans="1:2" x14ac:dyDescent="0.25">
      <c r="A17" s="2">
        <v>16</v>
      </c>
      <c r="B17" s="2" t="s">
        <v>48</v>
      </c>
    </row>
    <row r="18" spans="1:2" x14ac:dyDescent="0.25">
      <c r="A18" s="2">
        <v>17</v>
      </c>
      <c r="B18" s="2" t="s">
        <v>48</v>
      </c>
    </row>
    <row r="19" spans="1:2" x14ac:dyDescent="0.25">
      <c r="A19" s="2">
        <v>18</v>
      </c>
      <c r="B19" s="2" t="s">
        <v>48</v>
      </c>
    </row>
    <row r="20" spans="1:2" x14ac:dyDescent="0.25">
      <c r="A20" s="2">
        <v>19</v>
      </c>
      <c r="B20" s="2" t="s">
        <v>49</v>
      </c>
    </row>
    <row r="21" spans="1:2" x14ac:dyDescent="0.25">
      <c r="A21" s="2">
        <v>20</v>
      </c>
      <c r="B21" s="2" t="s">
        <v>49</v>
      </c>
    </row>
    <row r="22" spans="1:2" x14ac:dyDescent="0.25">
      <c r="A22" s="2">
        <v>21</v>
      </c>
      <c r="B22" s="2" t="s">
        <v>48</v>
      </c>
    </row>
    <row r="23" spans="1:2" x14ac:dyDescent="0.25">
      <c r="A23" s="2">
        <v>22</v>
      </c>
      <c r="B23" s="2" t="s">
        <v>49</v>
      </c>
    </row>
    <row r="24" spans="1:2" x14ac:dyDescent="0.25">
      <c r="A24" s="2">
        <v>23</v>
      </c>
      <c r="B24" s="2" t="s">
        <v>49</v>
      </c>
    </row>
    <row r="25" spans="1:2" x14ac:dyDescent="0.25">
      <c r="A25" s="2">
        <v>24</v>
      </c>
      <c r="B25" s="2" t="s">
        <v>48</v>
      </c>
    </row>
    <row r="26" spans="1:2" x14ac:dyDescent="0.25">
      <c r="A26" s="2">
        <v>25</v>
      </c>
      <c r="B26" s="2" t="s">
        <v>49</v>
      </c>
    </row>
    <row r="27" spans="1:2" x14ac:dyDescent="0.25">
      <c r="A27" s="2">
        <v>26</v>
      </c>
      <c r="B27" s="2" t="s">
        <v>49</v>
      </c>
    </row>
    <row r="28" spans="1:2" x14ac:dyDescent="0.25">
      <c r="A28" s="2">
        <v>27</v>
      </c>
      <c r="B28" s="2" t="s">
        <v>48</v>
      </c>
    </row>
    <row r="29" spans="1:2" x14ac:dyDescent="0.25">
      <c r="A29" s="2">
        <v>28</v>
      </c>
      <c r="B29" s="2" t="s">
        <v>49</v>
      </c>
    </row>
    <row r="30" spans="1:2" x14ac:dyDescent="0.25">
      <c r="A30" s="2">
        <v>29</v>
      </c>
      <c r="B30" s="2" t="s">
        <v>49</v>
      </c>
    </row>
    <row r="31" spans="1:2" x14ac:dyDescent="0.25">
      <c r="A31" s="2">
        <v>30</v>
      </c>
      <c r="B31" s="2" t="s">
        <v>49</v>
      </c>
    </row>
    <row r="32" spans="1:2" x14ac:dyDescent="0.25">
      <c r="A32" s="2">
        <v>31</v>
      </c>
      <c r="B32" s="2" t="s">
        <v>51</v>
      </c>
    </row>
    <row r="33" spans="1:2" x14ac:dyDescent="0.25">
      <c r="A33" s="2">
        <v>32</v>
      </c>
      <c r="B33" s="2" t="s">
        <v>49</v>
      </c>
    </row>
    <row r="34" spans="1:2" x14ac:dyDescent="0.25">
      <c r="A34" s="2">
        <v>33</v>
      </c>
      <c r="B34" s="2" t="s">
        <v>48</v>
      </c>
    </row>
    <row r="35" spans="1:2" x14ac:dyDescent="0.25">
      <c r="A35" s="2">
        <v>34</v>
      </c>
      <c r="B35" s="2" t="s">
        <v>49</v>
      </c>
    </row>
    <row r="36" spans="1:2" x14ac:dyDescent="0.25">
      <c r="A36" s="2">
        <v>35</v>
      </c>
      <c r="B36" s="2" t="s">
        <v>51</v>
      </c>
    </row>
    <row r="37" spans="1:2" x14ac:dyDescent="0.25">
      <c r="A37" s="2">
        <v>36</v>
      </c>
      <c r="B37" s="2" t="s">
        <v>49</v>
      </c>
    </row>
    <row r="38" spans="1:2" x14ac:dyDescent="0.25">
      <c r="A38" s="2">
        <v>37</v>
      </c>
      <c r="B38" s="2" t="s">
        <v>51</v>
      </c>
    </row>
    <row r="39" spans="1:2" x14ac:dyDescent="0.25">
      <c r="A39" s="2">
        <v>38</v>
      </c>
      <c r="B39" s="2" t="s">
        <v>50</v>
      </c>
    </row>
    <row r="40" spans="1:2" x14ac:dyDescent="0.25">
      <c r="A40" s="2">
        <v>39</v>
      </c>
      <c r="B40" s="2" t="s">
        <v>48</v>
      </c>
    </row>
    <row r="41" spans="1:2" x14ac:dyDescent="0.25">
      <c r="A41" s="2">
        <v>40</v>
      </c>
      <c r="B41" s="2" t="s">
        <v>51</v>
      </c>
    </row>
    <row r="42" spans="1:2" x14ac:dyDescent="0.25">
      <c r="A42" s="2">
        <v>41</v>
      </c>
      <c r="B42" s="2" t="s">
        <v>48</v>
      </c>
    </row>
    <row r="43" spans="1:2" x14ac:dyDescent="0.25">
      <c r="A43" s="2">
        <v>42</v>
      </c>
      <c r="B43" s="2" t="s">
        <v>48</v>
      </c>
    </row>
    <row r="44" spans="1:2" x14ac:dyDescent="0.25">
      <c r="A44" s="2">
        <v>43</v>
      </c>
      <c r="B44" s="2" t="s">
        <v>51</v>
      </c>
    </row>
    <row r="45" spans="1:2" x14ac:dyDescent="0.25">
      <c r="A45" s="2">
        <v>44</v>
      </c>
      <c r="B45" s="2" t="s">
        <v>48</v>
      </c>
    </row>
    <row r="46" spans="1:2" x14ac:dyDescent="0.25">
      <c r="A46" s="2">
        <v>45</v>
      </c>
      <c r="B46" s="2" t="s">
        <v>51</v>
      </c>
    </row>
    <row r="47" spans="1:2" x14ac:dyDescent="0.25">
      <c r="A47" s="2">
        <v>46</v>
      </c>
      <c r="B47" s="2" t="s">
        <v>50</v>
      </c>
    </row>
    <row r="48" spans="1:2" x14ac:dyDescent="0.25">
      <c r="A48" s="2">
        <v>47</v>
      </c>
      <c r="B48" s="2" t="s">
        <v>49</v>
      </c>
    </row>
    <row r="49" spans="1:2" x14ac:dyDescent="0.25">
      <c r="A49" s="2">
        <v>48</v>
      </c>
      <c r="B49" s="2" t="s">
        <v>51</v>
      </c>
    </row>
    <row r="50" spans="1:2" x14ac:dyDescent="0.25">
      <c r="A50" s="2">
        <v>49</v>
      </c>
      <c r="B50" s="2" t="s">
        <v>50</v>
      </c>
    </row>
    <row r="51" spans="1:2" x14ac:dyDescent="0.25">
      <c r="A51" s="2">
        <v>50</v>
      </c>
      <c r="B51" s="2" t="s">
        <v>49</v>
      </c>
    </row>
    <row r="52" spans="1:2" x14ac:dyDescent="0.25">
      <c r="A52" s="2">
        <v>51</v>
      </c>
      <c r="B52" s="2" t="s">
        <v>48</v>
      </c>
    </row>
    <row r="53" spans="1:2" x14ac:dyDescent="0.25">
      <c r="A53" s="2">
        <v>52</v>
      </c>
      <c r="B53" s="2" t="s">
        <v>49</v>
      </c>
    </row>
    <row r="54" spans="1:2" x14ac:dyDescent="0.25">
      <c r="A54" s="2">
        <v>53</v>
      </c>
      <c r="B54" s="2" t="s">
        <v>48</v>
      </c>
    </row>
    <row r="55" spans="1:2" x14ac:dyDescent="0.25">
      <c r="A55" s="2">
        <v>54</v>
      </c>
      <c r="B55" s="2" t="s">
        <v>49</v>
      </c>
    </row>
    <row r="56" spans="1:2" x14ac:dyDescent="0.25">
      <c r="A56" s="2">
        <v>55</v>
      </c>
      <c r="B56" s="2" t="s">
        <v>51</v>
      </c>
    </row>
    <row r="57" spans="1:2" x14ac:dyDescent="0.25">
      <c r="A57" s="2">
        <v>56</v>
      </c>
      <c r="B57" s="2" t="s">
        <v>48</v>
      </c>
    </row>
    <row r="58" spans="1:2" x14ac:dyDescent="0.25">
      <c r="A58" s="2">
        <v>57</v>
      </c>
      <c r="B58" s="2" t="s">
        <v>49</v>
      </c>
    </row>
    <row r="59" spans="1:2" x14ac:dyDescent="0.25">
      <c r="A59" s="2">
        <v>58</v>
      </c>
      <c r="B59" s="2" t="s">
        <v>48</v>
      </c>
    </row>
    <row r="60" spans="1:2" x14ac:dyDescent="0.25">
      <c r="A60" s="2">
        <v>59</v>
      </c>
      <c r="B60" s="2" t="s">
        <v>51</v>
      </c>
    </row>
    <row r="61" spans="1:2" x14ac:dyDescent="0.25">
      <c r="A61" s="2">
        <v>60</v>
      </c>
      <c r="B61" s="2" t="s">
        <v>50</v>
      </c>
    </row>
    <row r="62" spans="1:2" x14ac:dyDescent="0.25">
      <c r="A62" s="2">
        <v>61</v>
      </c>
      <c r="B62" s="2" t="s">
        <v>50</v>
      </c>
    </row>
    <row r="63" spans="1:2" x14ac:dyDescent="0.25">
      <c r="A63" s="2">
        <v>62</v>
      </c>
      <c r="B63" s="2" t="s">
        <v>50</v>
      </c>
    </row>
    <row r="64" spans="1:2" x14ac:dyDescent="0.25">
      <c r="A64" s="2">
        <v>63</v>
      </c>
      <c r="B64" s="2" t="s">
        <v>50</v>
      </c>
    </row>
    <row r="65" spans="1:2" x14ac:dyDescent="0.25">
      <c r="A65" s="2">
        <v>64</v>
      </c>
      <c r="B65" s="2" t="s">
        <v>49</v>
      </c>
    </row>
    <row r="66" spans="1:2" x14ac:dyDescent="0.25">
      <c r="A66" s="2">
        <v>65</v>
      </c>
      <c r="B66" s="2" t="s">
        <v>50</v>
      </c>
    </row>
    <row r="67" spans="1:2" x14ac:dyDescent="0.25">
      <c r="A67" s="2">
        <v>66</v>
      </c>
      <c r="B67" s="2" t="s">
        <v>48</v>
      </c>
    </row>
    <row r="68" spans="1:2" x14ac:dyDescent="0.25">
      <c r="A68" s="2">
        <v>67</v>
      </c>
      <c r="B68" s="2" t="s">
        <v>48</v>
      </c>
    </row>
    <row r="69" spans="1:2" x14ac:dyDescent="0.25">
      <c r="A69" s="2">
        <v>68</v>
      </c>
      <c r="B69" s="2" t="s">
        <v>50</v>
      </c>
    </row>
    <row r="70" spans="1:2" x14ac:dyDescent="0.25">
      <c r="A70" s="2">
        <v>69</v>
      </c>
      <c r="B70" s="2" t="s">
        <v>51</v>
      </c>
    </row>
    <row r="71" spans="1:2" x14ac:dyDescent="0.25">
      <c r="A71" s="2">
        <v>70</v>
      </c>
      <c r="B71" s="2" t="s">
        <v>49</v>
      </c>
    </row>
    <row r="72" spans="1:2" x14ac:dyDescent="0.25">
      <c r="A72" s="2">
        <v>71</v>
      </c>
      <c r="B72" s="2" t="s">
        <v>51</v>
      </c>
    </row>
    <row r="73" spans="1:2" x14ac:dyDescent="0.25">
      <c r="A73" s="2">
        <v>72</v>
      </c>
      <c r="B73" s="2" t="s">
        <v>49</v>
      </c>
    </row>
    <row r="74" spans="1:2" x14ac:dyDescent="0.25">
      <c r="A74" s="2">
        <v>73</v>
      </c>
      <c r="B74" s="2" t="s">
        <v>48</v>
      </c>
    </row>
    <row r="75" spans="1:2" x14ac:dyDescent="0.25">
      <c r="A75" s="2">
        <v>74</v>
      </c>
      <c r="B75" s="2" t="s">
        <v>51</v>
      </c>
    </row>
    <row r="76" spans="1:2" x14ac:dyDescent="0.25">
      <c r="A76" s="2">
        <v>75</v>
      </c>
      <c r="B76" s="2" t="s">
        <v>50</v>
      </c>
    </row>
    <row r="77" spans="1:2" x14ac:dyDescent="0.25">
      <c r="A77" s="2">
        <v>76</v>
      </c>
      <c r="B77" s="2" t="s">
        <v>49</v>
      </c>
    </row>
    <row r="78" spans="1:2" x14ac:dyDescent="0.25">
      <c r="A78" s="2">
        <v>77</v>
      </c>
      <c r="B78" s="2" t="s">
        <v>50</v>
      </c>
    </row>
    <row r="79" spans="1:2" x14ac:dyDescent="0.25">
      <c r="A79" s="2">
        <v>78</v>
      </c>
      <c r="B79" s="2" t="s">
        <v>51</v>
      </c>
    </row>
    <row r="80" spans="1:2" x14ac:dyDescent="0.25">
      <c r="A80" s="2">
        <v>79</v>
      </c>
      <c r="B80" s="2" t="s">
        <v>49</v>
      </c>
    </row>
    <row r="81" spans="1:2" x14ac:dyDescent="0.25">
      <c r="A81" s="2">
        <v>80</v>
      </c>
      <c r="B81" s="2" t="s">
        <v>51</v>
      </c>
    </row>
    <row r="82" spans="1:2" x14ac:dyDescent="0.25">
      <c r="A82" s="2">
        <v>81</v>
      </c>
      <c r="B82" s="2" t="s">
        <v>51</v>
      </c>
    </row>
    <row r="83" spans="1:2" x14ac:dyDescent="0.25">
      <c r="A83" s="2">
        <v>82</v>
      </c>
      <c r="B83" s="2" t="s">
        <v>51</v>
      </c>
    </row>
    <row r="84" spans="1:2" x14ac:dyDescent="0.25">
      <c r="A84" s="2">
        <v>83</v>
      </c>
      <c r="B84" s="2" t="s">
        <v>49</v>
      </c>
    </row>
    <row r="85" spans="1:2" x14ac:dyDescent="0.25">
      <c r="A85" s="2">
        <v>84</v>
      </c>
      <c r="B85" s="2" t="s">
        <v>51</v>
      </c>
    </row>
    <row r="86" spans="1:2" x14ac:dyDescent="0.25">
      <c r="A86" s="2">
        <v>85</v>
      </c>
      <c r="B86" s="2" t="s">
        <v>50</v>
      </c>
    </row>
    <row r="87" spans="1:2" x14ac:dyDescent="0.25">
      <c r="A87" s="2">
        <v>86</v>
      </c>
      <c r="B87" s="2" t="s">
        <v>51</v>
      </c>
    </row>
    <row r="88" spans="1:2" x14ac:dyDescent="0.25">
      <c r="A88" s="2">
        <v>87</v>
      </c>
      <c r="B88" s="2" t="s">
        <v>51</v>
      </c>
    </row>
    <row r="89" spans="1:2" x14ac:dyDescent="0.25">
      <c r="A89" s="2">
        <v>88</v>
      </c>
      <c r="B89" s="2" t="s">
        <v>51</v>
      </c>
    </row>
    <row r="90" spans="1:2" x14ac:dyDescent="0.25">
      <c r="A90" s="2">
        <v>89</v>
      </c>
      <c r="B90" s="2" t="s">
        <v>50</v>
      </c>
    </row>
    <row r="91" spans="1:2" x14ac:dyDescent="0.25">
      <c r="A91" s="2">
        <v>90</v>
      </c>
      <c r="B91" s="2" t="s">
        <v>48</v>
      </c>
    </row>
    <row r="92" spans="1:2" x14ac:dyDescent="0.25">
      <c r="A92" s="2">
        <v>91</v>
      </c>
      <c r="B92" s="2" t="s">
        <v>49</v>
      </c>
    </row>
    <row r="93" spans="1:2" x14ac:dyDescent="0.25">
      <c r="A93" s="2">
        <v>92</v>
      </c>
      <c r="B93" s="2" t="s">
        <v>49</v>
      </c>
    </row>
    <row r="94" spans="1:2" x14ac:dyDescent="0.25">
      <c r="A94" s="2">
        <v>93</v>
      </c>
      <c r="B94" s="2" t="s">
        <v>48</v>
      </c>
    </row>
    <row r="95" spans="1:2" x14ac:dyDescent="0.25">
      <c r="A95" s="2">
        <v>94</v>
      </c>
      <c r="B95" s="2" t="s">
        <v>51</v>
      </c>
    </row>
    <row r="96" spans="1:2" x14ac:dyDescent="0.25">
      <c r="A96" s="2">
        <v>95</v>
      </c>
      <c r="B96" s="2" t="s">
        <v>51</v>
      </c>
    </row>
    <row r="97" spans="1:2" x14ac:dyDescent="0.25">
      <c r="A97" s="2">
        <v>96</v>
      </c>
      <c r="B97" s="2" t="s">
        <v>49</v>
      </c>
    </row>
    <row r="98" spans="1:2" x14ac:dyDescent="0.25">
      <c r="A98" s="2">
        <v>97</v>
      </c>
      <c r="B98" s="2" t="s">
        <v>49</v>
      </c>
    </row>
    <row r="99" spans="1:2" x14ac:dyDescent="0.25">
      <c r="A99" s="2">
        <v>98</v>
      </c>
      <c r="B99" s="2" t="s">
        <v>50</v>
      </c>
    </row>
    <row r="100" spans="1:2" x14ac:dyDescent="0.25">
      <c r="A100" s="2">
        <v>99</v>
      </c>
      <c r="B100" s="2" t="s">
        <v>51</v>
      </c>
    </row>
    <row r="101" spans="1:2" x14ac:dyDescent="0.25">
      <c r="A101" s="2">
        <v>100</v>
      </c>
      <c r="B101" s="2" t="s">
        <v>51</v>
      </c>
    </row>
    <row r="102" spans="1:2" x14ac:dyDescent="0.25">
      <c r="A102" s="2">
        <v>101</v>
      </c>
      <c r="B102" s="2" t="s">
        <v>48</v>
      </c>
    </row>
    <row r="103" spans="1:2" x14ac:dyDescent="0.25">
      <c r="A103" s="2">
        <v>102</v>
      </c>
      <c r="B103" s="2" t="s">
        <v>50</v>
      </c>
    </row>
    <row r="104" spans="1:2" x14ac:dyDescent="0.25">
      <c r="A104" s="2">
        <v>103</v>
      </c>
      <c r="B104" s="2" t="s">
        <v>49</v>
      </c>
    </row>
    <row r="105" spans="1:2" x14ac:dyDescent="0.25">
      <c r="A105" s="2">
        <v>104</v>
      </c>
      <c r="B105" s="2" t="s">
        <v>49</v>
      </c>
    </row>
    <row r="106" spans="1:2" x14ac:dyDescent="0.25">
      <c r="A106" s="2">
        <v>105</v>
      </c>
      <c r="B106" s="2" t="s">
        <v>49</v>
      </c>
    </row>
    <row r="107" spans="1:2" x14ac:dyDescent="0.25">
      <c r="A107" s="2">
        <v>106</v>
      </c>
      <c r="B107" s="2" t="s">
        <v>48</v>
      </c>
    </row>
    <row r="108" spans="1:2" x14ac:dyDescent="0.25">
      <c r="A108" s="2">
        <v>107</v>
      </c>
      <c r="B108" s="2" t="s">
        <v>50</v>
      </c>
    </row>
    <row r="109" spans="1:2" x14ac:dyDescent="0.25">
      <c r="A109" s="2">
        <v>108</v>
      </c>
      <c r="B109" s="2" t="s">
        <v>49</v>
      </c>
    </row>
    <row r="110" spans="1:2" x14ac:dyDescent="0.25">
      <c r="A110" s="2">
        <v>109</v>
      </c>
      <c r="B110" s="2" t="s">
        <v>51</v>
      </c>
    </row>
    <row r="111" spans="1:2" x14ac:dyDescent="0.25">
      <c r="A111" s="2">
        <v>110</v>
      </c>
      <c r="B111" s="2" t="s">
        <v>49</v>
      </c>
    </row>
    <row r="112" spans="1:2" x14ac:dyDescent="0.25">
      <c r="A112" s="2">
        <v>111</v>
      </c>
      <c r="B112" s="2" t="s">
        <v>51</v>
      </c>
    </row>
    <row r="113" spans="1:2" x14ac:dyDescent="0.25">
      <c r="A113" s="2">
        <v>112</v>
      </c>
      <c r="B113" s="2" t="s">
        <v>48</v>
      </c>
    </row>
    <row r="114" spans="1:2" x14ac:dyDescent="0.25">
      <c r="A114" s="2">
        <v>113</v>
      </c>
      <c r="B114" s="2" t="s">
        <v>49</v>
      </c>
    </row>
    <row r="115" spans="1:2" x14ac:dyDescent="0.25">
      <c r="A115" s="2">
        <v>114</v>
      </c>
      <c r="B115" s="2" t="s">
        <v>49</v>
      </c>
    </row>
    <row r="116" spans="1:2" x14ac:dyDescent="0.25">
      <c r="A116" s="2">
        <v>115</v>
      </c>
      <c r="B116" s="2" t="s">
        <v>48</v>
      </c>
    </row>
    <row r="117" spans="1:2" x14ac:dyDescent="0.25">
      <c r="A117" s="2">
        <v>116</v>
      </c>
      <c r="B117" s="2" t="s">
        <v>48</v>
      </c>
    </row>
    <row r="118" spans="1:2" x14ac:dyDescent="0.25">
      <c r="A118" s="2">
        <v>117</v>
      </c>
      <c r="B118" s="2" t="s">
        <v>49</v>
      </c>
    </row>
    <row r="119" spans="1:2" x14ac:dyDescent="0.25">
      <c r="A119" s="2">
        <v>118</v>
      </c>
      <c r="B119" s="2" t="s">
        <v>48</v>
      </c>
    </row>
    <row r="120" spans="1:2" x14ac:dyDescent="0.25">
      <c r="A120" s="2">
        <v>119</v>
      </c>
      <c r="B120" s="2" t="s">
        <v>51</v>
      </c>
    </row>
    <row r="121" spans="1:2" x14ac:dyDescent="0.25">
      <c r="A121" s="2">
        <v>120</v>
      </c>
      <c r="B121" s="2" t="s">
        <v>49</v>
      </c>
    </row>
    <row r="122" spans="1:2" x14ac:dyDescent="0.25">
      <c r="A122" s="2">
        <v>121</v>
      </c>
      <c r="B122" s="2" t="s">
        <v>51</v>
      </c>
    </row>
    <row r="123" spans="1:2" x14ac:dyDescent="0.25">
      <c r="A123" s="2">
        <v>122</v>
      </c>
      <c r="B123" s="2" t="s">
        <v>51</v>
      </c>
    </row>
    <row r="124" spans="1:2" x14ac:dyDescent="0.25">
      <c r="A124" s="2">
        <v>123</v>
      </c>
      <c r="B124" s="2" t="s">
        <v>49</v>
      </c>
    </row>
    <row r="125" spans="1:2" x14ac:dyDescent="0.25">
      <c r="A125" s="2">
        <v>124</v>
      </c>
      <c r="B125" s="2" t="s">
        <v>49</v>
      </c>
    </row>
    <row r="126" spans="1:2" x14ac:dyDescent="0.25">
      <c r="A126" s="2">
        <v>125</v>
      </c>
      <c r="B126" s="2" t="s">
        <v>49</v>
      </c>
    </row>
    <row r="127" spans="1:2" x14ac:dyDescent="0.25">
      <c r="A127" s="2">
        <v>126</v>
      </c>
      <c r="B127" s="2" t="s">
        <v>49</v>
      </c>
    </row>
    <row r="128" spans="1:2" x14ac:dyDescent="0.25">
      <c r="A128" s="2">
        <v>127</v>
      </c>
      <c r="B128" s="2" t="s">
        <v>51</v>
      </c>
    </row>
    <row r="129" spans="1:2" x14ac:dyDescent="0.25">
      <c r="A129" s="2">
        <v>128</v>
      </c>
      <c r="B129" s="2" t="s">
        <v>48</v>
      </c>
    </row>
    <row r="130" spans="1:2" x14ac:dyDescent="0.25">
      <c r="A130" s="2">
        <v>129</v>
      </c>
      <c r="B130" s="2" t="s">
        <v>48</v>
      </c>
    </row>
    <row r="131" spans="1:2" x14ac:dyDescent="0.25">
      <c r="A131" s="2">
        <v>130</v>
      </c>
      <c r="B131" s="2" t="s">
        <v>48</v>
      </c>
    </row>
    <row r="132" spans="1:2" x14ac:dyDescent="0.25">
      <c r="A132" s="2">
        <v>131</v>
      </c>
      <c r="B132" s="2" t="s">
        <v>51</v>
      </c>
    </row>
    <row r="133" spans="1:2" x14ac:dyDescent="0.25">
      <c r="A133" s="2">
        <v>132</v>
      </c>
      <c r="B133" s="2" t="s">
        <v>49</v>
      </c>
    </row>
    <row r="134" spans="1:2" x14ac:dyDescent="0.25">
      <c r="A134" s="2">
        <v>133</v>
      </c>
      <c r="B134" s="2" t="s">
        <v>51</v>
      </c>
    </row>
    <row r="135" spans="1:2" x14ac:dyDescent="0.25">
      <c r="A135" s="2">
        <v>134</v>
      </c>
      <c r="B135" s="2" t="s">
        <v>48</v>
      </c>
    </row>
    <row r="136" spans="1:2" x14ac:dyDescent="0.25">
      <c r="A136" s="2">
        <v>135</v>
      </c>
      <c r="B136" s="2" t="s">
        <v>50</v>
      </c>
    </row>
    <row r="137" spans="1:2" x14ac:dyDescent="0.25">
      <c r="A137" s="2">
        <v>136</v>
      </c>
      <c r="B137" s="2" t="s">
        <v>49</v>
      </c>
    </row>
    <row r="138" spans="1:2" x14ac:dyDescent="0.25">
      <c r="A138" s="2">
        <v>137</v>
      </c>
      <c r="B138" s="2" t="s">
        <v>50</v>
      </c>
    </row>
    <row r="139" spans="1:2" x14ac:dyDescent="0.25">
      <c r="A139" s="2">
        <v>138</v>
      </c>
      <c r="B139" s="2" t="s">
        <v>48</v>
      </c>
    </row>
    <row r="140" spans="1:2" x14ac:dyDescent="0.25">
      <c r="A140" s="2">
        <v>139</v>
      </c>
      <c r="B140" s="2" t="s">
        <v>49</v>
      </c>
    </row>
    <row r="141" spans="1:2" x14ac:dyDescent="0.25">
      <c r="A141" s="2">
        <v>140</v>
      </c>
      <c r="B141" s="2" t="s">
        <v>48</v>
      </c>
    </row>
    <row r="142" spans="1:2" x14ac:dyDescent="0.25">
      <c r="A142" s="2">
        <v>141</v>
      </c>
      <c r="B142" s="2" t="s">
        <v>51</v>
      </c>
    </row>
    <row r="143" spans="1:2" x14ac:dyDescent="0.25">
      <c r="A143" s="2">
        <v>142</v>
      </c>
      <c r="B143" s="2" t="s">
        <v>50</v>
      </c>
    </row>
    <row r="144" spans="1:2" x14ac:dyDescent="0.25">
      <c r="A144" s="2">
        <v>143</v>
      </c>
      <c r="B144" s="2" t="s">
        <v>49</v>
      </c>
    </row>
    <row r="145" spans="1:2" x14ac:dyDescent="0.25">
      <c r="A145" s="2">
        <v>144</v>
      </c>
      <c r="B145" s="2" t="s">
        <v>48</v>
      </c>
    </row>
    <row r="146" spans="1:2" x14ac:dyDescent="0.25">
      <c r="A146" s="2">
        <v>145</v>
      </c>
      <c r="B146" s="2" t="s">
        <v>51</v>
      </c>
    </row>
    <row r="147" spans="1:2" x14ac:dyDescent="0.25">
      <c r="A147" s="2">
        <v>146</v>
      </c>
      <c r="B147" s="2" t="s">
        <v>49</v>
      </c>
    </row>
    <row r="148" spans="1:2" x14ac:dyDescent="0.25">
      <c r="A148" s="2">
        <v>147</v>
      </c>
      <c r="B148" s="2" t="s">
        <v>50</v>
      </c>
    </row>
    <row r="149" spans="1:2" x14ac:dyDescent="0.25">
      <c r="A149" s="2">
        <v>148</v>
      </c>
      <c r="B149" s="2" t="s">
        <v>48</v>
      </c>
    </row>
    <row r="150" spans="1:2" x14ac:dyDescent="0.25">
      <c r="A150" s="2">
        <v>149</v>
      </c>
      <c r="B150" s="2" t="s">
        <v>51</v>
      </c>
    </row>
    <row r="151" spans="1:2" x14ac:dyDescent="0.25">
      <c r="A151" s="2">
        <v>150</v>
      </c>
      <c r="B151" s="2" t="s">
        <v>51</v>
      </c>
    </row>
    <row r="152" spans="1:2" x14ac:dyDescent="0.25">
      <c r="A152" s="2">
        <v>151</v>
      </c>
      <c r="B152" s="2" t="s">
        <v>48</v>
      </c>
    </row>
    <row r="153" spans="1:2" x14ac:dyDescent="0.25">
      <c r="A153" s="2">
        <v>152</v>
      </c>
      <c r="B153" s="2" t="s">
        <v>51</v>
      </c>
    </row>
    <row r="154" spans="1:2" x14ac:dyDescent="0.25">
      <c r="A154" s="2">
        <v>153</v>
      </c>
      <c r="B154" s="2" t="s">
        <v>51</v>
      </c>
    </row>
    <row r="155" spans="1:2" x14ac:dyDescent="0.25">
      <c r="A155" s="2">
        <v>154</v>
      </c>
      <c r="B155" s="2" t="s">
        <v>51</v>
      </c>
    </row>
    <row r="156" spans="1:2" x14ac:dyDescent="0.25">
      <c r="A156" s="2">
        <v>155</v>
      </c>
      <c r="B156" s="2" t="s">
        <v>51</v>
      </c>
    </row>
    <row r="157" spans="1:2" x14ac:dyDescent="0.25">
      <c r="A157" s="2">
        <v>156</v>
      </c>
      <c r="B157" s="2" t="s">
        <v>48</v>
      </c>
    </row>
    <row r="158" spans="1:2" x14ac:dyDescent="0.25">
      <c r="A158" s="2">
        <v>157</v>
      </c>
      <c r="B158" s="2" t="s">
        <v>49</v>
      </c>
    </row>
    <row r="159" spans="1:2" x14ac:dyDescent="0.25">
      <c r="A159" s="2">
        <v>158</v>
      </c>
      <c r="B159" s="2" t="s">
        <v>51</v>
      </c>
    </row>
    <row r="160" spans="1:2" x14ac:dyDescent="0.25">
      <c r="A160" s="2">
        <v>159</v>
      </c>
      <c r="B160" s="2" t="s">
        <v>51</v>
      </c>
    </row>
    <row r="161" spans="1:2" x14ac:dyDescent="0.25">
      <c r="A161" s="2">
        <v>160</v>
      </c>
      <c r="B161" s="2" t="s">
        <v>51</v>
      </c>
    </row>
    <row r="162" spans="1:2" x14ac:dyDescent="0.25">
      <c r="A162" s="2">
        <v>161</v>
      </c>
      <c r="B162" s="2" t="s">
        <v>50</v>
      </c>
    </row>
    <row r="163" spans="1:2" x14ac:dyDescent="0.25">
      <c r="A163" s="2">
        <v>162</v>
      </c>
      <c r="B163" s="2" t="s">
        <v>50</v>
      </c>
    </row>
    <row r="164" spans="1:2" x14ac:dyDescent="0.25">
      <c r="A164" s="2">
        <v>163</v>
      </c>
      <c r="B164" s="2" t="s">
        <v>48</v>
      </c>
    </row>
    <row r="165" spans="1:2" x14ac:dyDescent="0.25">
      <c r="A165" s="2">
        <v>164</v>
      </c>
      <c r="B165" s="2" t="s">
        <v>48</v>
      </c>
    </row>
    <row r="166" spans="1:2" x14ac:dyDescent="0.25">
      <c r="A166" s="2">
        <v>165</v>
      </c>
      <c r="B166" s="2" t="s">
        <v>51</v>
      </c>
    </row>
    <row r="167" spans="1:2" x14ac:dyDescent="0.25">
      <c r="A167" s="2">
        <v>166</v>
      </c>
      <c r="B167" s="2" t="s">
        <v>51</v>
      </c>
    </row>
    <row r="168" spans="1:2" x14ac:dyDescent="0.25">
      <c r="A168" s="2">
        <v>167</v>
      </c>
      <c r="B168" s="2" t="s">
        <v>50</v>
      </c>
    </row>
    <row r="169" spans="1:2" x14ac:dyDescent="0.25">
      <c r="A169" s="2">
        <v>168</v>
      </c>
      <c r="B169" s="2" t="s">
        <v>51</v>
      </c>
    </row>
    <row r="170" spans="1:2" x14ac:dyDescent="0.25">
      <c r="A170" s="2">
        <v>169</v>
      </c>
      <c r="B170" s="2" t="s">
        <v>51</v>
      </c>
    </row>
    <row r="171" spans="1:2" x14ac:dyDescent="0.25">
      <c r="A171" s="2">
        <v>170</v>
      </c>
      <c r="B171" s="2" t="s">
        <v>49</v>
      </c>
    </row>
    <row r="172" spans="1:2" x14ac:dyDescent="0.25">
      <c r="A172" s="2">
        <v>171</v>
      </c>
      <c r="B172" s="2" t="s">
        <v>50</v>
      </c>
    </row>
    <row r="173" spans="1:2" x14ac:dyDescent="0.25">
      <c r="A173" s="2">
        <v>172</v>
      </c>
      <c r="B173" s="2" t="s">
        <v>50</v>
      </c>
    </row>
    <row r="174" spans="1:2" x14ac:dyDescent="0.25">
      <c r="A174" s="2">
        <v>173</v>
      </c>
      <c r="B174" s="2" t="s">
        <v>51</v>
      </c>
    </row>
    <row r="175" spans="1:2" x14ac:dyDescent="0.25">
      <c r="A175" s="2">
        <v>174</v>
      </c>
      <c r="B175" s="2" t="s">
        <v>49</v>
      </c>
    </row>
    <row r="176" spans="1:2" x14ac:dyDescent="0.25">
      <c r="A176" s="2">
        <v>175</v>
      </c>
      <c r="B176" s="2" t="s">
        <v>48</v>
      </c>
    </row>
    <row r="177" spans="1:2" x14ac:dyDescent="0.25">
      <c r="A177" s="2">
        <v>176</v>
      </c>
      <c r="B177" s="2" t="s">
        <v>49</v>
      </c>
    </row>
    <row r="178" spans="1:2" x14ac:dyDescent="0.25">
      <c r="A178" s="2">
        <v>177</v>
      </c>
      <c r="B178" s="2" t="s">
        <v>50</v>
      </c>
    </row>
    <row r="179" spans="1:2" x14ac:dyDescent="0.25">
      <c r="A179" s="2">
        <v>178</v>
      </c>
      <c r="B179" s="2" t="s">
        <v>49</v>
      </c>
    </row>
    <row r="180" spans="1:2" x14ac:dyDescent="0.25">
      <c r="A180" s="2">
        <v>179</v>
      </c>
      <c r="B180" s="2" t="s">
        <v>51</v>
      </c>
    </row>
    <row r="181" spans="1:2" x14ac:dyDescent="0.25">
      <c r="A181" s="2">
        <v>180</v>
      </c>
      <c r="B181" s="2" t="s">
        <v>49</v>
      </c>
    </row>
    <row r="182" spans="1:2" x14ac:dyDescent="0.25">
      <c r="A182" s="2">
        <v>181</v>
      </c>
      <c r="B182" s="2" t="s">
        <v>49</v>
      </c>
    </row>
    <row r="183" spans="1:2" x14ac:dyDescent="0.25">
      <c r="A183" s="2">
        <v>182</v>
      </c>
      <c r="B183" s="2" t="s">
        <v>49</v>
      </c>
    </row>
    <row r="184" spans="1:2" x14ac:dyDescent="0.25">
      <c r="A184" s="2">
        <v>183</v>
      </c>
      <c r="B184" s="2" t="s">
        <v>51</v>
      </c>
    </row>
    <row r="185" spans="1:2" x14ac:dyDescent="0.25">
      <c r="A185" s="2">
        <v>184</v>
      </c>
      <c r="B185" s="2" t="s">
        <v>49</v>
      </c>
    </row>
    <row r="186" spans="1:2" x14ac:dyDescent="0.25">
      <c r="A186" s="2">
        <v>185</v>
      </c>
      <c r="B186" s="2" t="s">
        <v>51</v>
      </c>
    </row>
    <row r="187" spans="1:2" x14ac:dyDescent="0.25">
      <c r="A187" s="2">
        <v>186</v>
      </c>
      <c r="B187" s="2" t="s">
        <v>49</v>
      </c>
    </row>
    <row r="188" spans="1:2" x14ac:dyDescent="0.25">
      <c r="A188" s="2">
        <v>187</v>
      </c>
      <c r="B188" s="2" t="s">
        <v>49</v>
      </c>
    </row>
    <row r="189" spans="1:2" x14ac:dyDescent="0.25">
      <c r="A189" s="2">
        <v>188</v>
      </c>
      <c r="B189" s="2" t="s">
        <v>48</v>
      </c>
    </row>
    <row r="190" spans="1:2" x14ac:dyDescent="0.25">
      <c r="A190" s="2">
        <v>189</v>
      </c>
      <c r="B190" s="2" t="s">
        <v>50</v>
      </c>
    </row>
    <row r="191" spans="1:2" x14ac:dyDescent="0.25">
      <c r="A191" s="2">
        <v>190</v>
      </c>
      <c r="B191" s="2" t="s">
        <v>48</v>
      </c>
    </row>
    <row r="192" spans="1:2" x14ac:dyDescent="0.25">
      <c r="A192" s="2">
        <v>191</v>
      </c>
      <c r="B192" s="2" t="s">
        <v>51</v>
      </c>
    </row>
    <row r="193" spans="1:2" x14ac:dyDescent="0.25">
      <c r="A193" s="2">
        <v>192</v>
      </c>
      <c r="B193" s="2" t="s">
        <v>48</v>
      </c>
    </row>
    <row r="194" spans="1:2" x14ac:dyDescent="0.25">
      <c r="A194" s="2">
        <v>193</v>
      </c>
      <c r="B194" s="2" t="s">
        <v>49</v>
      </c>
    </row>
    <row r="195" spans="1:2" x14ac:dyDescent="0.25">
      <c r="A195" s="2">
        <v>194</v>
      </c>
      <c r="B195" s="2" t="s">
        <v>49</v>
      </c>
    </row>
    <row r="196" spans="1:2" x14ac:dyDescent="0.25">
      <c r="A196" s="2">
        <v>195</v>
      </c>
      <c r="B196" s="2" t="s">
        <v>51</v>
      </c>
    </row>
    <row r="197" spans="1:2" x14ac:dyDescent="0.25">
      <c r="A197" s="2">
        <v>196</v>
      </c>
      <c r="B197" s="2" t="s">
        <v>48</v>
      </c>
    </row>
    <row r="198" spans="1:2" x14ac:dyDescent="0.25">
      <c r="A198" s="2">
        <v>197</v>
      </c>
      <c r="B198" s="2" t="s">
        <v>49</v>
      </c>
    </row>
    <row r="199" spans="1:2" x14ac:dyDescent="0.25">
      <c r="A199" s="2">
        <v>198</v>
      </c>
      <c r="B199" s="2" t="s">
        <v>49</v>
      </c>
    </row>
    <row r="200" spans="1:2" x14ac:dyDescent="0.25">
      <c r="A200" s="2">
        <v>199</v>
      </c>
      <c r="B200" s="2" t="s">
        <v>50</v>
      </c>
    </row>
    <row r="201" spans="1:2" x14ac:dyDescent="0.25">
      <c r="A201" s="2">
        <v>200</v>
      </c>
      <c r="B201" s="2" t="s">
        <v>50</v>
      </c>
    </row>
    <row r="202" spans="1:2" x14ac:dyDescent="0.25">
      <c r="A202" s="2">
        <v>201</v>
      </c>
      <c r="B202" s="2" t="s">
        <v>49</v>
      </c>
    </row>
    <row r="203" spans="1:2" x14ac:dyDescent="0.25">
      <c r="A203" s="2">
        <v>202</v>
      </c>
      <c r="B203" s="2" t="s">
        <v>48</v>
      </c>
    </row>
    <row r="204" spans="1:2" x14ac:dyDescent="0.25">
      <c r="A204" s="2">
        <v>203</v>
      </c>
      <c r="B204" s="2" t="s">
        <v>49</v>
      </c>
    </row>
    <row r="205" spans="1:2" x14ac:dyDescent="0.25">
      <c r="A205" s="2">
        <v>204</v>
      </c>
      <c r="B205" s="2" t="s">
        <v>51</v>
      </c>
    </row>
    <row r="206" spans="1:2" x14ac:dyDescent="0.25">
      <c r="A206" s="2">
        <v>205</v>
      </c>
      <c r="B206" s="2" t="s">
        <v>50</v>
      </c>
    </row>
    <row r="207" spans="1:2" x14ac:dyDescent="0.25">
      <c r="A207" s="2">
        <v>206</v>
      </c>
      <c r="B207" s="2" t="s">
        <v>49</v>
      </c>
    </row>
    <row r="208" spans="1:2" x14ac:dyDescent="0.25">
      <c r="A208" s="2">
        <v>207</v>
      </c>
      <c r="B208" s="2" t="s">
        <v>51</v>
      </c>
    </row>
    <row r="209" spans="1:2" x14ac:dyDescent="0.25">
      <c r="A209" s="2">
        <v>208</v>
      </c>
      <c r="B209" s="2" t="s">
        <v>49</v>
      </c>
    </row>
    <row r="210" spans="1:2" x14ac:dyDescent="0.25">
      <c r="A210" s="2">
        <v>209</v>
      </c>
      <c r="B210" s="2" t="s">
        <v>51</v>
      </c>
    </row>
    <row r="211" spans="1:2" x14ac:dyDescent="0.25">
      <c r="A211" s="2">
        <v>210</v>
      </c>
      <c r="B211" s="2" t="s">
        <v>49</v>
      </c>
    </row>
    <row r="212" spans="1:2" x14ac:dyDescent="0.25">
      <c r="A212" s="2">
        <v>211</v>
      </c>
      <c r="B212" s="2" t="s">
        <v>49</v>
      </c>
    </row>
    <row r="213" spans="1:2" x14ac:dyDescent="0.25">
      <c r="A213" s="2">
        <v>212</v>
      </c>
      <c r="B213" s="2" t="s">
        <v>51</v>
      </c>
    </row>
    <row r="214" spans="1:2" x14ac:dyDescent="0.25">
      <c r="A214" s="2">
        <v>213</v>
      </c>
      <c r="B214" s="2" t="s">
        <v>49</v>
      </c>
    </row>
    <row r="215" spans="1:2" x14ac:dyDescent="0.25">
      <c r="A215" s="2">
        <v>214</v>
      </c>
      <c r="B215" s="2" t="s">
        <v>51</v>
      </c>
    </row>
    <row r="216" spans="1:2" x14ac:dyDescent="0.25">
      <c r="A216" s="2">
        <v>215</v>
      </c>
      <c r="B216" s="2" t="s">
        <v>50</v>
      </c>
    </row>
    <row r="217" spans="1:2" x14ac:dyDescent="0.25">
      <c r="A217" s="2">
        <v>216</v>
      </c>
      <c r="B217" s="2" t="s">
        <v>51</v>
      </c>
    </row>
    <row r="218" spans="1:2" x14ac:dyDescent="0.25">
      <c r="A218" s="2">
        <v>217</v>
      </c>
      <c r="B218" s="2" t="s">
        <v>51</v>
      </c>
    </row>
    <row r="219" spans="1:2" x14ac:dyDescent="0.25">
      <c r="A219" s="2">
        <v>218</v>
      </c>
      <c r="B219" s="2" t="s">
        <v>49</v>
      </c>
    </row>
    <row r="220" spans="1:2" x14ac:dyDescent="0.25">
      <c r="A220" s="2">
        <v>219</v>
      </c>
      <c r="B220" s="2" t="s">
        <v>48</v>
      </c>
    </row>
    <row r="221" spans="1:2" x14ac:dyDescent="0.25">
      <c r="A221" s="2">
        <v>220</v>
      </c>
      <c r="B221" s="2" t="s">
        <v>49</v>
      </c>
    </row>
    <row r="222" spans="1:2" x14ac:dyDescent="0.25">
      <c r="A222" s="2">
        <v>221</v>
      </c>
      <c r="B222" s="2" t="s">
        <v>49</v>
      </c>
    </row>
    <row r="223" spans="1:2" x14ac:dyDescent="0.25">
      <c r="A223" s="2">
        <v>222</v>
      </c>
      <c r="B223" s="2" t="s">
        <v>51</v>
      </c>
    </row>
    <row r="224" spans="1:2" x14ac:dyDescent="0.25">
      <c r="A224" s="2">
        <v>223</v>
      </c>
      <c r="B224" s="2" t="s">
        <v>49</v>
      </c>
    </row>
    <row r="225" spans="1:2" x14ac:dyDescent="0.25">
      <c r="A225" s="2">
        <v>224</v>
      </c>
      <c r="B225" s="2" t="s">
        <v>50</v>
      </c>
    </row>
    <row r="226" spans="1:2" x14ac:dyDescent="0.25">
      <c r="A226" s="2">
        <v>225</v>
      </c>
      <c r="B226" s="2" t="s">
        <v>50</v>
      </c>
    </row>
    <row r="227" spans="1:2" x14ac:dyDescent="0.25">
      <c r="A227" s="2">
        <v>226</v>
      </c>
      <c r="B227" s="2" t="s">
        <v>48</v>
      </c>
    </row>
    <row r="228" spans="1:2" x14ac:dyDescent="0.25">
      <c r="A228" s="2">
        <v>227</v>
      </c>
      <c r="B228" s="2" t="s">
        <v>49</v>
      </c>
    </row>
    <row r="229" spans="1:2" x14ac:dyDescent="0.25">
      <c r="A229" s="2">
        <v>228</v>
      </c>
      <c r="B229" s="2" t="s">
        <v>51</v>
      </c>
    </row>
    <row r="230" spans="1:2" x14ac:dyDescent="0.25">
      <c r="A230" s="2">
        <v>229</v>
      </c>
      <c r="B230" s="2" t="s">
        <v>49</v>
      </c>
    </row>
    <row r="231" spans="1:2" x14ac:dyDescent="0.25">
      <c r="A231" s="2">
        <v>230</v>
      </c>
      <c r="B231" s="2" t="s">
        <v>51</v>
      </c>
    </row>
    <row r="232" spans="1:2" x14ac:dyDescent="0.25">
      <c r="A232" s="2">
        <v>231</v>
      </c>
      <c r="B232" s="2" t="s">
        <v>48</v>
      </c>
    </row>
    <row r="233" spans="1:2" x14ac:dyDescent="0.25">
      <c r="A233" s="2">
        <v>232</v>
      </c>
      <c r="B233" s="2" t="s">
        <v>48</v>
      </c>
    </row>
    <row r="234" spans="1:2" x14ac:dyDescent="0.25">
      <c r="A234" s="2">
        <v>233</v>
      </c>
      <c r="B234" s="2" t="s">
        <v>51</v>
      </c>
    </row>
    <row r="235" spans="1:2" x14ac:dyDescent="0.25">
      <c r="A235" s="2">
        <v>234</v>
      </c>
      <c r="B235" s="2" t="s">
        <v>51</v>
      </c>
    </row>
    <row r="236" spans="1:2" x14ac:dyDescent="0.25">
      <c r="A236" s="2">
        <v>235</v>
      </c>
      <c r="B236" s="2" t="s">
        <v>51</v>
      </c>
    </row>
    <row r="237" spans="1:2" x14ac:dyDescent="0.25">
      <c r="A237" s="2">
        <v>236</v>
      </c>
      <c r="B237" s="2" t="s">
        <v>49</v>
      </c>
    </row>
    <row r="238" spans="1:2" x14ac:dyDescent="0.25">
      <c r="A238" s="2">
        <v>237</v>
      </c>
      <c r="B238" s="2" t="s">
        <v>51</v>
      </c>
    </row>
    <row r="239" spans="1:2" x14ac:dyDescent="0.25">
      <c r="A239" s="2">
        <v>238</v>
      </c>
      <c r="B239" s="2" t="s">
        <v>48</v>
      </c>
    </row>
    <row r="240" spans="1:2" x14ac:dyDescent="0.25">
      <c r="A240" s="2">
        <v>239</v>
      </c>
      <c r="B240" s="2" t="s">
        <v>49</v>
      </c>
    </row>
    <row r="241" spans="1:2" x14ac:dyDescent="0.25">
      <c r="A241" s="2">
        <v>240</v>
      </c>
      <c r="B241" s="2" t="s">
        <v>49</v>
      </c>
    </row>
    <row r="242" spans="1:2" x14ac:dyDescent="0.25">
      <c r="A242" s="2">
        <v>241</v>
      </c>
      <c r="B242" s="2" t="s">
        <v>51</v>
      </c>
    </row>
    <row r="243" spans="1:2" x14ac:dyDescent="0.25">
      <c r="A243" s="2">
        <v>242</v>
      </c>
      <c r="B243" s="2" t="s">
        <v>48</v>
      </c>
    </row>
    <row r="244" spans="1:2" x14ac:dyDescent="0.25">
      <c r="A244" s="2">
        <v>243</v>
      </c>
      <c r="B244" s="2" t="s">
        <v>49</v>
      </c>
    </row>
    <row r="245" spans="1:2" x14ac:dyDescent="0.25">
      <c r="A245" s="2">
        <v>244</v>
      </c>
      <c r="B245" s="2" t="s">
        <v>51</v>
      </c>
    </row>
    <row r="246" spans="1:2" x14ac:dyDescent="0.25">
      <c r="A246" s="2">
        <v>245</v>
      </c>
      <c r="B246" s="2" t="s">
        <v>51</v>
      </c>
    </row>
    <row r="247" spans="1:2" x14ac:dyDescent="0.25">
      <c r="A247" s="2">
        <v>246</v>
      </c>
      <c r="B247" s="2" t="s">
        <v>50</v>
      </c>
    </row>
    <row r="248" spans="1:2" x14ac:dyDescent="0.25">
      <c r="A248" s="2">
        <v>247</v>
      </c>
      <c r="B248" s="2" t="s">
        <v>51</v>
      </c>
    </row>
    <row r="249" spans="1:2" x14ac:dyDescent="0.25">
      <c r="A249" s="2">
        <v>248</v>
      </c>
      <c r="B249" s="2" t="s">
        <v>49</v>
      </c>
    </row>
    <row r="250" spans="1:2" x14ac:dyDescent="0.25">
      <c r="A250" s="2">
        <v>249</v>
      </c>
      <c r="B250" s="2" t="s">
        <v>48</v>
      </c>
    </row>
    <row r="251" spans="1:2" x14ac:dyDescent="0.25">
      <c r="A251" s="2">
        <v>250</v>
      </c>
      <c r="B251" s="2" t="s">
        <v>51</v>
      </c>
    </row>
    <row r="252" spans="1:2" x14ac:dyDescent="0.25">
      <c r="A252" s="2">
        <v>251</v>
      </c>
      <c r="B252" s="2" t="s">
        <v>48</v>
      </c>
    </row>
    <row r="253" spans="1:2" x14ac:dyDescent="0.25">
      <c r="A253" s="2">
        <v>252</v>
      </c>
      <c r="B253" s="2" t="s">
        <v>51</v>
      </c>
    </row>
    <row r="254" spans="1:2" x14ac:dyDescent="0.25">
      <c r="A254" s="2">
        <v>253</v>
      </c>
      <c r="B254" s="2" t="s">
        <v>48</v>
      </c>
    </row>
    <row r="255" spans="1:2" x14ac:dyDescent="0.25">
      <c r="A255" s="2">
        <v>254</v>
      </c>
      <c r="B255" s="2" t="s">
        <v>49</v>
      </c>
    </row>
    <row r="256" spans="1:2" x14ac:dyDescent="0.25">
      <c r="A256" s="2">
        <v>255</v>
      </c>
      <c r="B256" s="2" t="s">
        <v>51</v>
      </c>
    </row>
    <row r="257" spans="1:2" x14ac:dyDescent="0.25">
      <c r="A257" s="2">
        <v>256</v>
      </c>
      <c r="B257" s="2" t="s">
        <v>49</v>
      </c>
    </row>
    <row r="258" spans="1:2" x14ac:dyDescent="0.25">
      <c r="A258" s="2">
        <v>257</v>
      </c>
      <c r="B258" s="2" t="s">
        <v>48</v>
      </c>
    </row>
    <row r="259" spans="1:2" x14ac:dyDescent="0.25">
      <c r="A259" s="2">
        <v>258</v>
      </c>
      <c r="B259" s="2" t="s">
        <v>51</v>
      </c>
    </row>
    <row r="260" spans="1:2" x14ac:dyDescent="0.25">
      <c r="A260" s="2">
        <v>259</v>
      </c>
      <c r="B260" s="2" t="s">
        <v>51</v>
      </c>
    </row>
    <row r="261" spans="1:2" x14ac:dyDescent="0.25">
      <c r="A261" s="2">
        <v>260</v>
      </c>
      <c r="B261" s="2" t="s">
        <v>49</v>
      </c>
    </row>
    <row r="262" spans="1:2" x14ac:dyDescent="0.25">
      <c r="A262" s="2">
        <v>261</v>
      </c>
      <c r="B262" s="2" t="s">
        <v>51</v>
      </c>
    </row>
    <row r="263" spans="1:2" x14ac:dyDescent="0.25">
      <c r="A263" s="2">
        <v>262</v>
      </c>
      <c r="B263" s="2" t="s">
        <v>51</v>
      </c>
    </row>
    <row r="264" spans="1:2" x14ac:dyDescent="0.25">
      <c r="A264" s="2">
        <v>263</v>
      </c>
      <c r="B264" s="2" t="s">
        <v>49</v>
      </c>
    </row>
    <row r="265" spans="1:2" x14ac:dyDescent="0.25">
      <c r="A265" s="2">
        <v>264</v>
      </c>
      <c r="B265" s="2" t="s">
        <v>49</v>
      </c>
    </row>
    <row r="266" spans="1:2" x14ac:dyDescent="0.25">
      <c r="A266" s="2">
        <v>265</v>
      </c>
      <c r="B266" s="2" t="s">
        <v>51</v>
      </c>
    </row>
    <row r="267" spans="1:2" x14ac:dyDescent="0.25">
      <c r="A267" s="2">
        <v>266</v>
      </c>
      <c r="B267" s="2" t="s">
        <v>49</v>
      </c>
    </row>
    <row r="268" spans="1:2" x14ac:dyDescent="0.25">
      <c r="A268" s="2">
        <v>267</v>
      </c>
      <c r="B268" s="2" t="s">
        <v>51</v>
      </c>
    </row>
    <row r="269" spans="1:2" x14ac:dyDescent="0.25">
      <c r="A269" s="2">
        <v>268</v>
      </c>
      <c r="B269" s="2" t="s">
        <v>51</v>
      </c>
    </row>
    <row r="270" spans="1:2" x14ac:dyDescent="0.25">
      <c r="A270" s="2">
        <v>269</v>
      </c>
      <c r="B270" s="2" t="s">
        <v>50</v>
      </c>
    </row>
    <row r="271" spans="1:2" x14ac:dyDescent="0.25">
      <c r="A271" s="2">
        <v>270</v>
      </c>
      <c r="B271" s="2" t="s">
        <v>49</v>
      </c>
    </row>
    <row r="272" spans="1:2" x14ac:dyDescent="0.25">
      <c r="A272" s="2">
        <v>271</v>
      </c>
      <c r="B272" s="2" t="s">
        <v>48</v>
      </c>
    </row>
    <row r="273" spans="1:2" x14ac:dyDescent="0.25">
      <c r="A273" s="2">
        <v>272</v>
      </c>
      <c r="B273" s="2" t="s">
        <v>49</v>
      </c>
    </row>
    <row r="274" spans="1:2" x14ac:dyDescent="0.25">
      <c r="A274" s="2">
        <v>273</v>
      </c>
      <c r="B274" s="2" t="s">
        <v>49</v>
      </c>
    </row>
    <row r="275" spans="1:2" x14ac:dyDescent="0.25">
      <c r="A275" s="2">
        <v>274</v>
      </c>
      <c r="B275" s="2" t="s">
        <v>49</v>
      </c>
    </row>
    <row r="276" spans="1:2" x14ac:dyDescent="0.25">
      <c r="A276" s="2">
        <v>275</v>
      </c>
      <c r="B276" s="2" t="s">
        <v>48</v>
      </c>
    </row>
    <row r="277" spans="1:2" x14ac:dyDescent="0.25">
      <c r="A277" s="2">
        <v>276</v>
      </c>
      <c r="B277" s="2" t="s">
        <v>48</v>
      </c>
    </row>
    <row r="278" spans="1:2" x14ac:dyDescent="0.25">
      <c r="A278" s="2">
        <v>277</v>
      </c>
      <c r="B278" s="2" t="s">
        <v>51</v>
      </c>
    </row>
    <row r="279" spans="1:2" x14ac:dyDescent="0.25">
      <c r="A279" s="2">
        <v>278</v>
      </c>
      <c r="B279" s="2" t="s">
        <v>49</v>
      </c>
    </row>
    <row r="280" spans="1:2" x14ac:dyDescent="0.25">
      <c r="A280" s="2">
        <v>279</v>
      </c>
      <c r="B280" s="2" t="s">
        <v>48</v>
      </c>
    </row>
    <row r="281" spans="1:2" x14ac:dyDescent="0.25">
      <c r="A281" s="2">
        <v>280</v>
      </c>
      <c r="B281" s="2" t="s">
        <v>49</v>
      </c>
    </row>
    <row r="282" spans="1:2" x14ac:dyDescent="0.25">
      <c r="A282" s="2">
        <v>281</v>
      </c>
      <c r="B282" s="2" t="s">
        <v>51</v>
      </c>
    </row>
    <row r="283" spans="1:2" x14ac:dyDescent="0.25">
      <c r="A283" s="2">
        <v>282</v>
      </c>
      <c r="B283" s="2" t="s">
        <v>48</v>
      </c>
    </row>
    <row r="284" spans="1:2" x14ac:dyDescent="0.25">
      <c r="A284" s="2">
        <v>283</v>
      </c>
      <c r="B284" s="2" t="s">
        <v>49</v>
      </c>
    </row>
    <row r="285" spans="1:2" x14ac:dyDescent="0.25">
      <c r="A285" s="2">
        <v>284</v>
      </c>
      <c r="B285" s="2" t="s">
        <v>49</v>
      </c>
    </row>
    <row r="286" spans="1:2" x14ac:dyDescent="0.25">
      <c r="A286" s="2">
        <v>285</v>
      </c>
      <c r="B286" s="2" t="s">
        <v>49</v>
      </c>
    </row>
    <row r="287" spans="1:2" x14ac:dyDescent="0.25">
      <c r="A287" s="2">
        <v>286</v>
      </c>
      <c r="B287" s="2" t="s">
        <v>49</v>
      </c>
    </row>
    <row r="288" spans="1:2" x14ac:dyDescent="0.25">
      <c r="A288" s="2">
        <v>287</v>
      </c>
      <c r="B288" s="2" t="s">
        <v>49</v>
      </c>
    </row>
    <row r="289" spans="1:2" x14ac:dyDescent="0.25">
      <c r="A289" s="2">
        <v>288</v>
      </c>
      <c r="B289" s="2" t="s">
        <v>50</v>
      </c>
    </row>
    <row r="290" spans="1:2" x14ac:dyDescent="0.25">
      <c r="A290" s="2">
        <v>289</v>
      </c>
      <c r="B290" s="2" t="s">
        <v>51</v>
      </c>
    </row>
    <row r="291" spans="1:2" x14ac:dyDescent="0.25">
      <c r="A291" s="2">
        <v>290</v>
      </c>
      <c r="B291" s="2" t="s">
        <v>48</v>
      </c>
    </row>
    <row r="292" spans="1:2" x14ac:dyDescent="0.25">
      <c r="A292" s="2">
        <v>291</v>
      </c>
      <c r="B292" s="2" t="s">
        <v>49</v>
      </c>
    </row>
    <row r="293" spans="1:2" x14ac:dyDescent="0.25">
      <c r="A293" s="2">
        <v>292</v>
      </c>
      <c r="B293" s="2" t="s">
        <v>48</v>
      </c>
    </row>
    <row r="294" spans="1:2" x14ac:dyDescent="0.25">
      <c r="A294" s="2">
        <v>293</v>
      </c>
      <c r="B294" s="2" t="s">
        <v>49</v>
      </c>
    </row>
    <row r="295" spans="1:2" x14ac:dyDescent="0.25">
      <c r="A295" s="2">
        <v>294</v>
      </c>
      <c r="B295" s="2" t="s">
        <v>48</v>
      </c>
    </row>
    <row r="296" spans="1:2" x14ac:dyDescent="0.25">
      <c r="A296" s="2">
        <v>295</v>
      </c>
      <c r="B296" s="2" t="s">
        <v>51</v>
      </c>
    </row>
    <row r="297" spans="1:2" x14ac:dyDescent="0.25">
      <c r="A297" s="2">
        <v>296</v>
      </c>
      <c r="B297" s="2" t="s">
        <v>51</v>
      </c>
    </row>
    <row r="298" spans="1:2" x14ac:dyDescent="0.25">
      <c r="A298" s="2">
        <v>297</v>
      </c>
      <c r="B298" s="2" t="s">
        <v>49</v>
      </c>
    </row>
    <row r="299" spans="1:2" x14ac:dyDescent="0.25">
      <c r="A299" s="2">
        <v>298</v>
      </c>
      <c r="B299" s="2" t="s">
        <v>50</v>
      </c>
    </row>
    <row r="300" spans="1:2" x14ac:dyDescent="0.25">
      <c r="A300" s="2">
        <v>299</v>
      </c>
      <c r="B300" s="2" t="s">
        <v>49</v>
      </c>
    </row>
    <row r="301" spans="1:2" x14ac:dyDescent="0.25">
      <c r="A301" s="2">
        <v>300</v>
      </c>
      <c r="B301" s="2" t="s">
        <v>51</v>
      </c>
    </row>
    <row r="302" spans="1:2" x14ac:dyDescent="0.25">
      <c r="A302" s="2">
        <v>301</v>
      </c>
      <c r="B302" s="2" t="s">
        <v>48</v>
      </c>
    </row>
    <row r="303" spans="1:2" x14ac:dyDescent="0.25">
      <c r="A303" s="2">
        <v>302</v>
      </c>
      <c r="B303" s="2" t="s">
        <v>51</v>
      </c>
    </row>
    <row r="304" spans="1:2" x14ac:dyDescent="0.25">
      <c r="A304" s="2">
        <v>303</v>
      </c>
      <c r="B304" s="2" t="s">
        <v>48</v>
      </c>
    </row>
    <row r="305" spans="1:2" x14ac:dyDescent="0.25">
      <c r="A305" s="2">
        <v>304</v>
      </c>
      <c r="B305" s="2" t="s">
        <v>49</v>
      </c>
    </row>
    <row r="306" spans="1:2" x14ac:dyDescent="0.25">
      <c r="A306" s="2">
        <v>305</v>
      </c>
      <c r="B306" s="2" t="s">
        <v>48</v>
      </c>
    </row>
    <row r="307" spans="1:2" x14ac:dyDescent="0.25">
      <c r="A307" s="2">
        <v>306</v>
      </c>
      <c r="B307" s="2" t="s">
        <v>50</v>
      </c>
    </row>
    <row r="308" spans="1:2" x14ac:dyDescent="0.25">
      <c r="A308" s="2">
        <v>307</v>
      </c>
      <c r="B308" s="2" t="s">
        <v>49</v>
      </c>
    </row>
    <row r="309" spans="1:2" x14ac:dyDescent="0.25">
      <c r="A309" s="2">
        <v>308</v>
      </c>
      <c r="B309" s="2" t="s">
        <v>49</v>
      </c>
    </row>
    <row r="310" spans="1:2" x14ac:dyDescent="0.25">
      <c r="A310" s="2">
        <v>309</v>
      </c>
      <c r="B310" s="2" t="s">
        <v>50</v>
      </c>
    </row>
    <row r="311" spans="1:2" x14ac:dyDescent="0.25">
      <c r="A311" s="2">
        <v>310</v>
      </c>
      <c r="B311" s="2" t="s">
        <v>49</v>
      </c>
    </row>
    <row r="312" spans="1:2" x14ac:dyDescent="0.25">
      <c r="A312" s="2">
        <v>311</v>
      </c>
      <c r="B312" s="2" t="s">
        <v>49</v>
      </c>
    </row>
    <row r="313" spans="1:2" x14ac:dyDescent="0.25">
      <c r="A313" s="2">
        <v>312</v>
      </c>
      <c r="B313" s="2" t="s">
        <v>51</v>
      </c>
    </row>
    <row r="314" spans="1:2" x14ac:dyDescent="0.25">
      <c r="A314" s="2">
        <v>313</v>
      </c>
      <c r="B314" s="2" t="s">
        <v>51</v>
      </c>
    </row>
    <row r="315" spans="1:2" x14ac:dyDescent="0.25">
      <c r="A315" s="2">
        <v>314</v>
      </c>
      <c r="B315" s="2" t="s">
        <v>49</v>
      </c>
    </row>
    <row r="316" spans="1:2" x14ac:dyDescent="0.25">
      <c r="A316" s="2">
        <v>315</v>
      </c>
      <c r="B316" s="2" t="s">
        <v>48</v>
      </c>
    </row>
    <row r="317" spans="1:2" x14ac:dyDescent="0.25">
      <c r="A317" s="2">
        <v>316</v>
      </c>
      <c r="B317" s="2" t="s">
        <v>51</v>
      </c>
    </row>
    <row r="318" spans="1:2" x14ac:dyDescent="0.25">
      <c r="A318" s="2">
        <v>317</v>
      </c>
      <c r="B318" s="2" t="s">
        <v>50</v>
      </c>
    </row>
    <row r="319" spans="1:2" x14ac:dyDescent="0.25">
      <c r="A319" s="2">
        <v>318</v>
      </c>
      <c r="B319" s="2" t="s">
        <v>51</v>
      </c>
    </row>
    <row r="320" spans="1:2" x14ac:dyDescent="0.25">
      <c r="A320" s="2">
        <v>319</v>
      </c>
      <c r="B320" s="2" t="s">
        <v>49</v>
      </c>
    </row>
    <row r="321" spans="1:2" x14ac:dyDescent="0.25">
      <c r="A321" s="2">
        <v>320</v>
      </c>
      <c r="B321" s="2" t="s">
        <v>49</v>
      </c>
    </row>
    <row r="322" spans="1:2" x14ac:dyDescent="0.25">
      <c r="A322" s="2">
        <v>321</v>
      </c>
      <c r="B322" s="2" t="s">
        <v>51</v>
      </c>
    </row>
    <row r="323" spans="1:2" x14ac:dyDescent="0.25">
      <c r="A323" s="2">
        <v>322</v>
      </c>
      <c r="B323" s="2" t="s">
        <v>49</v>
      </c>
    </row>
    <row r="324" spans="1:2" x14ac:dyDescent="0.25">
      <c r="A324" s="2">
        <v>323</v>
      </c>
      <c r="B324" s="2" t="s">
        <v>49</v>
      </c>
    </row>
    <row r="325" spans="1:2" x14ac:dyDescent="0.25">
      <c r="A325" s="2">
        <v>324</v>
      </c>
      <c r="B325" s="2" t="s">
        <v>48</v>
      </c>
    </row>
    <row r="326" spans="1:2" x14ac:dyDescent="0.25">
      <c r="A326" s="2">
        <v>325</v>
      </c>
      <c r="B326" s="2" t="s">
        <v>49</v>
      </c>
    </row>
    <row r="327" spans="1:2" x14ac:dyDescent="0.25">
      <c r="A327" s="2">
        <v>326</v>
      </c>
      <c r="B327" s="2" t="s">
        <v>49</v>
      </c>
    </row>
    <row r="328" spans="1:2" x14ac:dyDescent="0.25">
      <c r="A328" s="2">
        <v>327</v>
      </c>
      <c r="B328" s="2" t="s">
        <v>51</v>
      </c>
    </row>
    <row r="329" spans="1:2" x14ac:dyDescent="0.25">
      <c r="A329" s="2">
        <v>328</v>
      </c>
      <c r="B329" s="2" t="s">
        <v>49</v>
      </c>
    </row>
    <row r="330" spans="1:2" x14ac:dyDescent="0.25">
      <c r="A330" s="2">
        <v>329</v>
      </c>
      <c r="B330" s="2" t="s">
        <v>49</v>
      </c>
    </row>
    <row r="331" spans="1:2" x14ac:dyDescent="0.25">
      <c r="A331" s="2">
        <v>330</v>
      </c>
      <c r="B331" s="2" t="s">
        <v>49</v>
      </c>
    </row>
    <row r="332" spans="1:2" x14ac:dyDescent="0.25">
      <c r="A332" s="2">
        <v>331</v>
      </c>
      <c r="B332" s="2" t="s">
        <v>51</v>
      </c>
    </row>
    <row r="333" spans="1:2" x14ac:dyDescent="0.25">
      <c r="A333" s="2">
        <v>332</v>
      </c>
      <c r="B333" s="2" t="s">
        <v>49</v>
      </c>
    </row>
    <row r="334" spans="1:2" x14ac:dyDescent="0.25">
      <c r="A334" s="2">
        <v>333</v>
      </c>
      <c r="B334" s="2" t="s">
        <v>48</v>
      </c>
    </row>
    <row r="335" spans="1:2" x14ac:dyDescent="0.25">
      <c r="A335" s="2">
        <v>334</v>
      </c>
      <c r="B335" s="2" t="s">
        <v>49</v>
      </c>
    </row>
    <row r="336" spans="1:2" x14ac:dyDescent="0.25">
      <c r="A336" s="2">
        <v>335</v>
      </c>
      <c r="B336" s="2" t="s">
        <v>51</v>
      </c>
    </row>
    <row r="337" spans="1:2" x14ac:dyDescent="0.25">
      <c r="A337" s="2">
        <v>336</v>
      </c>
      <c r="B337" s="2" t="s">
        <v>49</v>
      </c>
    </row>
    <row r="338" spans="1:2" x14ac:dyDescent="0.25">
      <c r="A338" s="2">
        <v>337</v>
      </c>
      <c r="B338" s="2" t="s">
        <v>51</v>
      </c>
    </row>
    <row r="339" spans="1:2" x14ac:dyDescent="0.25">
      <c r="A339" s="2">
        <v>338</v>
      </c>
      <c r="B339" s="2" t="s">
        <v>50</v>
      </c>
    </row>
    <row r="340" spans="1:2" x14ac:dyDescent="0.25">
      <c r="A340" s="2">
        <v>339</v>
      </c>
      <c r="B340" s="2" t="s">
        <v>48</v>
      </c>
    </row>
    <row r="341" spans="1:2" x14ac:dyDescent="0.25">
      <c r="A341" s="2">
        <v>340</v>
      </c>
      <c r="B341" s="2" t="s">
        <v>51</v>
      </c>
    </row>
    <row r="342" spans="1:2" x14ac:dyDescent="0.25">
      <c r="A342" s="2">
        <v>341</v>
      </c>
      <c r="B342" s="2" t="s">
        <v>48</v>
      </c>
    </row>
    <row r="343" spans="1:2" x14ac:dyDescent="0.25">
      <c r="A343" s="2">
        <v>342</v>
      </c>
      <c r="B343" s="2" t="s">
        <v>48</v>
      </c>
    </row>
    <row r="344" spans="1:2" x14ac:dyDescent="0.25">
      <c r="A344" s="2">
        <v>343</v>
      </c>
      <c r="B344" s="2" t="s">
        <v>51</v>
      </c>
    </row>
    <row r="345" spans="1:2" x14ac:dyDescent="0.25">
      <c r="A345" s="2">
        <v>344</v>
      </c>
      <c r="B345" s="2" t="s">
        <v>48</v>
      </c>
    </row>
    <row r="346" spans="1:2" x14ac:dyDescent="0.25">
      <c r="A346" s="2">
        <v>345</v>
      </c>
      <c r="B346" s="2" t="s">
        <v>51</v>
      </c>
    </row>
    <row r="347" spans="1:2" x14ac:dyDescent="0.25">
      <c r="A347" s="2">
        <v>346</v>
      </c>
      <c r="B347" s="2" t="s">
        <v>50</v>
      </c>
    </row>
    <row r="348" spans="1:2" x14ac:dyDescent="0.25">
      <c r="A348" s="2">
        <v>347</v>
      </c>
      <c r="B348" s="2" t="s">
        <v>49</v>
      </c>
    </row>
    <row r="349" spans="1:2" x14ac:dyDescent="0.25">
      <c r="A349" s="2">
        <v>348</v>
      </c>
      <c r="B349" s="2" t="s">
        <v>51</v>
      </c>
    </row>
    <row r="350" spans="1:2" x14ac:dyDescent="0.25">
      <c r="A350" s="2">
        <v>349</v>
      </c>
      <c r="B350" s="2" t="s">
        <v>50</v>
      </c>
    </row>
    <row r="351" spans="1:2" x14ac:dyDescent="0.25">
      <c r="A351" s="2">
        <v>350</v>
      </c>
      <c r="B351" s="2" t="s">
        <v>49</v>
      </c>
    </row>
    <row r="352" spans="1:2" x14ac:dyDescent="0.25">
      <c r="A352" s="2">
        <v>351</v>
      </c>
      <c r="B352" s="2" t="s">
        <v>48</v>
      </c>
    </row>
    <row r="353" spans="1:2" x14ac:dyDescent="0.25">
      <c r="A353" s="2">
        <v>352</v>
      </c>
      <c r="B353" s="2" t="s">
        <v>49</v>
      </c>
    </row>
    <row r="354" spans="1:2" x14ac:dyDescent="0.25">
      <c r="A354" s="2">
        <v>353</v>
      </c>
      <c r="B354" s="2" t="s">
        <v>48</v>
      </c>
    </row>
    <row r="355" spans="1:2" x14ac:dyDescent="0.25">
      <c r="A355" s="2">
        <v>354</v>
      </c>
      <c r="B355" s="2" t="s">
        <v>49</v>
      </c>
    </row>
    <row r="356" spans="1:2" x14ac:dyDescent="0.25">
      <c r="A356" s="2">
        <v>355</v>
      </c>
      <c r="B356" s="2" t="s">
        <v>51</v>
      </c>
    </row>
    <row r="357" spans="1:2" x14ac:dyDescent="0.25">
      <c r="A357" s="2">
        <v>356</v>
      </c>
      <c r="B357" s="2" t="s">
        <v>48</v>
      </c>
    </row>
    <row r="358" spans="1:2" x14ac:dyDescent="0.25">
      <c r="A358" s="2">
        <v>357</v>
      </c>
      <c r="B358" s="2" t="s">
        <v>49</v>
      </c>
    </row>
    <row r="359" spans="1:2" x14ac:dyDescent="0.25">
      <c r="A359" s="2">
        <v>358</v>
      </c>
      <c r="B359" s="2" t="s">
        <v>48</v>
      </c>
    </row>
    <row r="360" spans="1:2" x14ac:dyDescent="0.25">
      <c r="A360" s="2">
        <v>359</v>
      </c>
      <c r="B360" s="2" t="s">
        <v>51</v>
      </c>
    </row>
    <row r="361" spans="1:2" x14ac:dyDescent="0.25">
      <c r="A361" s="2">
        <v>360</v>
      </c>
      <c r="B361" s="2" t="s">
        <v>50</v>
      </c>
    </row>
    <row r="362" spans="1:2" x14ac:dyDescent="0.25">
      <c r="A362" s="2">
        <v>361</v>
      </c>
      <c r="B362" s="2" t="s">
        <v>50</v>
      </c>
    </row>
    <row r="363" spans="1:2" x14ac:dyDescent="0.25">
      <c r="A363" s="2">
        <v>362</v>
      </c>
      <c r="B363" s="2" t="s">
        <v>50</v>
      </c>
    </row>
    <row r="364" spans="1:2" x14ac:dyDescent="0.25">
      <c r="A364" s="2">
        <v>363</v>
      </c>
      <c r="B364" s="2" t="s">
        <v>50</v>
      </c>
    </row>
    <row r="365" spans="1:2" x14ac:dyDescent="0.25">
      <c r="A365" s="2">
        <v>364</v>
      </c>
      <c r="B365" s="2" t="s">
        <v>49</v>
      </c>
    </row>
    <row r="366" spans="1:2" x14ac:dyDescent="0.25">
      <c r="A366" s="2">
        <v>365</v>
      </c>
      <c r="B366" s="2" t="s">
        <v>50</v>
      </c>
    </row>
    <row r="367" spans="1:2" x14ac:dyDescent="0.25">
      <c r="A367" s="2">
        <v>366</v>
      </c>
      <c r="B367" s="2" t="s">
        <v>48</v>
      </c>
    </row>
    <row r="368" spans="1:2" x14ac:dyDescent="0.25">
      <c r="A368" s="2">
        <v>367</v>
      </c>
      <c r="B368" s="2" t="s">
        <v>48</v>
      </c>
    </row>
    <row r="369" spans="1:2" x14ac:dyDescent="0.25">
      <c r="A369" s="2">
        <v>368</v>
      </c>
      <c r="B369" s="2" t="s">
        <v>50</v>
      </c>
    </row>
    <row r="370" spans="1:2" x14ac:dyDescent="0.25">
      <c r="A370" s="2">
        <v>369</v>
      </c>
      <c r="B370" s="2" t="s">
        <v>51</v>
      </c>
    </row>
    <row r="371" spans="1:2" x14ac:dyDescent="0.25">
      <c r="A371" s="2">
        <v>370</v>
      </c>
      <c r="B371" s="2" t="s">
        <v>49</v>
      </c>
    </row>
    <row r="372" spans="1:2" x14ac:dyDescent="0.25">
      <c r="A372" s="2">
        <v>371</v>
      </c>
      <c r="B372" s="2" t="s">
        <v>51</v>
      </c>
    </row>
    <row r="373" spans="1:2" x14ac:dyDescent="0.25">
      <c r="A373" s="2">
        <v>372</v>
      </c>
      <c r="B373" s="2" t="s">
        <v>49</v>
      </c>
    </row>
    <row r="374" spans="1:2" x14ac:dyDescent="0.25">
      <c r="A374" s="2">
        <v>373</v>
      </c>
      <c r="B374" s="2" t="s">
        <v>48</v>
      </c>
    </row>
    <row r="375" spans="1:2" x14ac:dyDescent="0.25">
      <c r="A375" s="2">
        <v>374</v>
      </c>
      <c r="B375" s="2" t="s">
        <v>51</v>
      </c>
    </row>
    <row r="376" spans="1:2" x14ac:dyDescent="0.25">
      <c r="A376" s="2">
        <v>375</v>
      </c>
      <c r="B376" s="2" t="s">
        <v>50</v>
      </c>
    </row>
    <row r="377" spans="1:2" x14ac:dyDescent="0.25">
      <c r="A377" s="2">
        <v>376</v>
      </c>
      <c r="B377" s="2" t="s">
        <v>49</v>
      </c>
    </row>
    <row r="378" spans="1:2" x14ac:dyDescent="0.25">
      <c r="A378" s="2">
        <v>377</v>
      </c>
      <c r="B378" s="2" t="s">
        <v>50</v>
      </c>
    </row>
    <row r="379" spans="1:2" x14ac:dyDescent="0.25">
      <c r="A379" s="2">
        <v>378</v>
      </c>
      <c r="B379" s="2" t="s">
        <v>51</v>
      </c>
    </row>
    <row r="380" spans="1:2" x14ac:dyDescent="0.25">
      <c r="A380" s="2">
        <v>379</v>
      </c>
      <c r="B380" s="2" t="s">
        <v>49</v>
      </c>
    </row>
    <row r="381" spans="1:2" x14ac:dyDescent="0.25">
      <c r="A381" s="2">
        <v>380</v>
      </c>
      <c r="B381" s="2" t="s">
        <v>51</v>
      </c>
    </row>
    <row r="382" spans="1:2" x14ac:dyDescent="0.25">
      <c r="A382" s="2">
        <v>381</v>
      </c>
      <c r="B382" s="2" t="s">
        <v>51</v>
      </c>
    </row>
    <row r="383" spans="1:2" x14ac:dyDescent="0.25">
      <c r="A383" s="2">
        <v>382</v>
      </c>
      <c r="B383" s="2" t="s">
        <v>51</v>
      </c>
    </row>
    <row r="384" spans="1:2" x14ac:dyDescent="0.25">
      <c r="A384" s="2">
        <v>383</v>
      </c>
      <c r="B384" s="2" t="s">
        <v>49</v>
      </c>
    </row>
    <row r="385" spans="1:2" x14ac:dyDescent="0.25">
      <c r="A385" s="2">
        <v>384</v>
      </c>
      <c r="B385" s="2" t="s">
        <v>51</v>
      </c>
    </row>
    <row r="386" spans="1:2" x14ac:dyDescent="0.25">
      <c r="A386" s="2">
        <v>385</v>
      </c>
      <c r="B386" s="2" t="s">
        <v>50</v>
      </c>
    </row>
    <row r="387" spans="1:2" x14ac:dyDescent="0.25">
      <c r="A387" s="2">
        <v>386</v>
      </c>
      <c r="B387" s="2" t="s">
        <v>51</v>
      </c>
    </row>
    <row r="388" spans="1:2" x14ac:dyDescent="0.25">
      <c r="A388" s="2">
        <v>387</v>
      </c>
      <c r="B388" s="2" t="s">
        <v>51</v>
      </c>
    </row>
    <row r="389" spans="1:2" x14ac:dyDescent="0.25">
      <c r="A389" s="2">
        <v>388</v>
      </c>
      <c r="B389" s="2" t="s">
        <v>51</v>
      </c>
    </row>
    <row r="390" spans="1:2" x14ac:dyDescent="0.25">
      <c r="A390" s="2">
        <v>389</v>
      </c>
      <c r="B390" s="2" t="s">
        <v>50</v>
      </c>
    </row>
    <row r="391" spans="1:2" x14ac:dyDescent="0.25">
      <c r="A391" s="2">
        <v>390</v>
      </c>
      <c r="B391" s="2" t="s">
        <v>48</v>
      </c>
    </row>
    <row r="392" spans="1:2" x14ac:dyDescent="0.25">
      <c r="A392" s="2">
        <v>391</v>
      </c>
      <c r="B392" s="2" t="s">
        <v>49</v>
      </c>
    </row>
    <row r="393" spans="1:2" x14ac:dyDescent="0.25">
      <c r="A393" s="2">
        <v>392</v>
      </c>
      <c r="B393" s="2" t="s">
        <v>49</v>
      </c>
    </row>
    <row r="394" spans="1:2" x14ac:dyDescent="0.25">
      <c r="A394" s="2">
        <v>393</v>
      </c>
      <c r="B394" s="2" t="s">
        <v>48</v>
      </c>
    </row>
    <row r="395" spans="1:2" x14ac:dyDescent="0.25">
      <c r="A395" s="2">
        <v>394</v>
      </c>
      <c r="B395" s="2" t="s">
        <v>51</v>
      </c>
    </row>
    <row r="396" spans="1:2" x14ac:dyDescent="0.25">
      <c r="A396" s="2">
        <v>395</v>
      </c>
      <c r="B396" s="2" t="s">
        <v>51</v>
      </c>
    </row>
    <row r="397" spans="1:2" x14ac:dyDescent="0.25">
      <c r="A397" s="2">
        <v>396</v>
      </c>
      <c r="B397" s="2" t="s">
        <v>49</v>
      </c>
    </row>
    <row r="398" spans="1:2" x14ac:dyDescent="0.25">
      <c r="A398" s="2">
        <v>397</v>
      </c>
      <c r="B398" s="2" t="s">
        <v>49</v>
      </c>
    </row>
    <row r="399" spans="1:2" x14ac:dyDescent="0.25">
      <c r="A399" s="2">
        <v>398</v>
      </c>
      <c r="B399" s="2" t="s">
        <v>50</v>
      </c>
    </row>
    <row r="400" spans="1:2" x14ac:dyDescent="0.25">
      <c r="A400" s="2">
        <v>399</v>
      </c>
      <c r="B400" s="2" t="s">
        <v>51</v>
      </c>
    </row>
    <row r="401" spans="1:2" x14ac:dyDescent="0.25">
      <c r="A401" s="2">
        <v>400</v>
      </c>
      <c r="B401" s="2" t="s">
        <v>51</v>
      </c>
    </row>
    <row r="402" spans="1:2" x14ac:dyDescent="0.25">
      <c r="A402" s="2">
        <v>401</v>
      </c>
      <c r="B402" s="2" t="s">
        <v>48</v>
      </c>
    </row>
    <row r="403" spans="1:2" x14ac:dyDescent="0.25">
      <c r="A403" s="2">
        <v>402</v>
      </c>
      <c r="B403" s="2" t="s">
        <v>50</v>
      </c>
    </row>
    <row r="404" spans="1:2" x14ac:dyDescent="0.25">
      <c r="A404" s="2">
        <v>403</v>
      </c>
      <c r="B404" s="2" t="s">
        <v>49</v>
      </c>
    </row>
    <row r="405" spans="1:2" x14ac:dyDescent="0.25">
      <c r="A405" s="2">
        <v>404</v>
      </c>
      <c r="B405" s="2" t="s">
        <v>49</v>
      </c>
    </row>
    <row r="406" spans="1:2" x14ac:dyDescent="0.25">
      <c r="A406" s="2">
        <v>405</v>
      </c>
      <c r="B406" s="2" t="s">
        <v>49</v>
      </c>
    </row>
    <row r="407" spans="1:2" x14ac:dyDescent="0.25">
      <c r="A407" s="2">
        <v>406</v>
      </c>
      <c r="B407" s="2" t="s">
        <v>48</v>
      </c>
    </row>
    <row r="408" spans="1:2" x14ac:dyDescent="0.25">
      <c r="A408" s="2">
        <v>407</v>
      </c>
      <c r="B408" s="2" t="s">
        <v>50</v>
      </c>
    </row>
    <row r="409" spans="1:2" x14ac:dyDescent="0.25">
      <c r="A409" s="2">
        <v>408</v>
      </c>
      <c r="B409" s="2" t="s">
        <v>49</v>
      </c>
    </row>
    <row r="410" spans="1:2" x14ac:dyDescent="0.25">
      <c r="A410" s="2">
        <v>409</v>
      </c>
      <c r="B410" s="2" t="s">
        <v>51</v>
      </c>
    </row>
    <row r="411" spans="1:2" x14ac:dyDescent="0.25">
      <c r="A411" s="2">
        <v>410</v>
      </c>
      <c r="B411" s="2" t="s">
        <v>49</v>
      </c>
    </row>
    <row r="412" spans="1:2" x14ac:dyDescent="0.25">
      <c r="A412" s="2">
        <v>411</v>
      </c>
      <c r="B412" s="2" t="s">
        <v>51</v>
      </c>
    </row>
    <row r="413" spans="1:2" x14ac:dyDescent="0.25">
      <c r="A413" s="2">
        <v>412</v>
      </c>
      <c r="B413" s="2" t="s">
        <v>48</v>
      </c>
    </row>
    <row r="414" spans="1:2" x14ac:dyDescent="0.25">
      <c r="A414" s="2">
        <v>413</v>
      </c>
      <c r="B414" s="2" t="s">
        <v>49</v>
      </c>
    </row>
    <row r="415" spans="1:2" x14ac:dyDescent="0.25">
      <c r="A415" s="2">
        <v>414</v>
      </c>
      <c r="B415" s="2" t="s">
        <v>49</v>
      </c>
    </row>
    <row r="416" spans="1:2" x14ac:dyDescent="0.25">
      <c r="A416" s="2">
        <v>415</v>
      </c>
      <c r="B416" s="2" t="s">
        <v>48</v>
      </c>
    </row>
    <row r="417" spans="1:2" x14ac:dyDescent="0.25">
      <c r="A417" s="2">
        <v>416</v>
      </c>
      <c r="B417" s="2" t="s">
        <v>48</v>
      </c>
    </row>
    <row r="418" spans="1:2" x14ac:dyDescent="0.25">
      <c r="A418" s="2">
        <v>417</v>
      </c>
      <c r="B418" s="2" t="s">
        <v>49</v>
      </c>
    </row>
    <row r="419" spans="1:2" x14ac:dyDescent="0.25">
      <c r="A419" s="2">
        <v>418</v>
      </c>
      <c r="B419" s="2" t="s">
        <v>48</v>
      </c>
    </row>
    <row r="420" spans="1:2" x14ac:dyDescent="0.25">
      <c r="A420" s="2">
        <v>419</v>
      </c>
      <c r="B420" s="2" t="s">
        <v>51</v>
      </c>
    </row>
    <row r="421" spans="1:2" x14ac:dyDescent="0.25">
      <c r="A421" s="2">
        <v>420</v>
      </c>
      <c r="B421" s="2" t="s">
        <v>49</v>
      </c>
    </row>
    <row r="422" spans="1:2" x14ac:dyDescent="0.25">
      <c r="A422" s="2">
        <v>421</v>
      </c>
      <c r="B422" s="2" t="s">
        <v>51</v>
      </c>
    </row>
    <row r="423" spans="1:2" x14ac:dyDescent="0.25">
      <c r="A423" s="2">
        <v>422</v>
      </c>
      <c r="B423" s="2" t="s">
        <v>51</v>
      </c>
    </row>
    <row r="424" spans="1:2" x14ac:dyDescent="0.25">
      <c r="A424" s="2">
        <v>423</v>
      </c>
      <c r="B424" s="2" t="s">
        <v>49</v>
      </c>
    </row>
    <row r="425" spans="1:2" x14ac:dyDescent="0.25">
      <c r="A425" s="2">
        <v>424</v>
      </c>
      <c r="B425" s="2" t="s">
        <v>49</v>
      </c>
    </row>
    <row r="426" spans="1:2" x14ac:dyDescent="0.25">
      <c r="A426" s="2">
        <v>425</v>
      </c>
      <c r="B426" s="2" t="s">
        <v>49</v>
      </c>
    </row>
    <row r="427" spans="1:2" x14ac:dyDescent="0.25">
      <c r="A427" s="2">
        <v>426</v>
      </c>
      <c r="B427" s="2" t="s">
        <v>49</v>
      </c>
    </row>
    <row r="428" spans="1:2" x14ac:dyDescent="0.25">
      <c r="A428" s="2">
        <v>427</v>
      </c>
      <c r="B428" s="2" t="s">
        <v>51</v>
      </c>
    </row>
    <row r="429" spans="1:2" x14ac:dyDescent="0.25">
      <c r="A429" s="2">
        <v>428</v>
      </c>
      <c r="B429" s="2" t="s">
        <v>48</v>
      </c>
    </row>
    <row r="430" spans="1:2" x14ac:dyDescent="0.25">
      <c r="A430" s="2">
        <v>429</v>
      </c>
      <c r="B430" s="2" t="s">
        <v>48</v>
      </c>
    </row>
    <row r="431" spans="1:2" x14ac:dyDescent="0.25">
      <c r="A431" s="2">
        <v>430</v>
      </c>
      <c r="B431" s="2" t="s">
        <v>48</v>
      </c>
    </row>
    <row r="432" spans="1:2" x14ac:dyDescent="0.25">
      <c r="A432" s="2">
        <v>431</v>
      </c>
      <c r="B432" s="2" t="s">
        <v>51</v>
      </c>
    </row>
    <row r="433" spans="1:2" x14ac:dyDescent="0.25">
      <c r="A433" s="2">
        <v>432</v>
      </c>
      <c r="B433" s="2" t="s">
        <v>49</v>
      </c>
    </row>
    <row r="434" spans="1:2" x14ac:dyDescent="0.25">
      <c r="A434" s="2">
        <v>433</v>
      </c>
      <c r="B434" s="2" t="s">
        <v>51</v>
      </c>
    </row>
    <row r="435" spans="1:2" x14ac:dyDescent="0.25">
      <c r="A435" s="2">
        <v>434</v>
      </c>
      <c r="B435" s="2" t="s">
        <v>48</v>
      </c>
    </row>
    <row r="436" spans="1:2" x14ac:dyDescent="0.25">
      <c r="A436" s="2">
        <v>435</v>
      </c>
      <c r="B436" s="2" t="s">
        <v>50</v>
      </c>
    </row>
    <row r="437" spans="1:2" x14ac:dyDescent="0.25">
      <c r="A437" s="2">
        <v>436</v>
      </c>
      <c r="B437" s="2" t="s">
        <v>49</v>
      </c>
    </row>
    <row r="438" spans="1:2" x14ac:dyDescent="0.25">
      <c r="A438" s="2">
        <v>437</v>
      </c>
      <c r="B438" s="2" t="s">
        <v>50</v>
      </c>
    </row>
    <row r="439" spans="1:2" x14ac:dyDescent="0.25">
      <c r="A439" s="2">
        <v>438</v>
      </c>
      <c r="B439" s="2" t="s">
        <v>48</v>
      </c>
    </row>
    <row r="440" spans="1:2" x14ac:dyDescent="0.25">
      <c r="A440" s="2">
        <v>439</v>
      </c>
      <c r="B440" s="2" t="s">
        <v>49</v>
      </c>
    </row>
    <row r="441" spans="1:2" x14ac:dyDescent="0.25">
      <c r="A441" s="2">
        <v>440</v>
      </c>
      <c r="B441" s="2" t="s">
        <v>48</v>
      </c>
    </row>
    <row r="442" spans="1:2" x14ac:dyDescent="0.25">
      <c r="A442" s="2">
        <v>441</v>
      </c>
      <c r="B442" s="2" t="s">
        <v>51</v>
      </c>
    </row>
    <row r="443" spans="1:2" x14ac:dyDescent="0.25">
      <c r="A443" s="2">
        <v>442</v>
      </c>
      <c r="B443" s="2" t="s">
        <v>50</v>
      </c>
    </row>
    <row r="444" spans="1:2" x14ac:dyDescent="0.25">
      <c r="A444" s="2">
        <v>443</v>
      </c>
      <c r="B444" s="2" t="s">
        <v>49</v>
      </c>
    </row>
    <row r="445" spans="1:2" x14ac:dyDescent="0.25">
      <c r="A445" s="2">
        <v>444</v>
      </c>
      <c r="B445" s="2" t="s">
        <v>48</v>
      </c>
    </row>
    <row r="446" spans="1:2" x14ac:dyDescent="0.25">
      <c r="A446" s="2">
        <v>445</v>
      </c>
      <c r="B446" s="2" t="s">
        <v>51</v>
      </c>
    </row>
    <row r="447" spans="1:2" x14ac:dyDescent="0.25">
      <c r="A447" s="2">
        <v>446</v>
      </c>
      <c r="B447" s="2" t="s">
        <v>49</v>
      </c>
    </row>
    <row r="448" spans="1:2" x14ac:dyDescent="0.25">
      <c r="A448" s="2">
        <v>447</v>
      </c>
      <c r="B448" s="2" t="s">
        <v>50</v>
      </c>
    </row>
    <row r="449" spans="1:2" x14ac:dyDescent="0.25">
      <c r="A449" s="2">
        <v>448</v>
      </c>
      <c r="B449" s="2" t="s">
        <v>48</v>
      </c>
    </row>
    <row r="450" spans="1:2" x14ac:dyDescent="0.25">
      <c r="A450" s="2">
        <v>449</v>
      </c>
      <c r="B450" s="2" t="s">
        <v>51</v>
      </c>
    </row>
    <row r="451" spans="1:2" x14ac:dyDescent="0.25">
      <c r="A451" s="2">
        <v>450</v>
      </c>
      <c r="B451" s="2" t="s">
        <v>51</v>
      </c>
    </row>
    <row r="452" spans="1:2" x14ac:dyDescent="0.25">
      <c r="A452" s="2">
        <v>451</v>
      </c>
      <c r="B452" s="2" t="s">
        <v>48</v>
      </c>
    </row>
    <row r="453" spans="1:2" x14ac:dyDescent="0.25">
      <c r="A453" s="2">
        <v>452</v>
      </c>
      <c r="B453" s="2" t="s">
        <v>51</v>
      </c>
    </row>
    <row r="454" spans="1:2" x14ac:dyDescent="0.25">
      <c r="A454" s="2">
        <v>453</v>
      </c>
      <c r="B454" s="2" t="s">
        <v>51</v>
      </c>
    </row>
    <row r="455" spans="1:2" x14ac:dyDescent="0.25">
      <c r="A455" s="2">
        <v>454</v>
      </c>
      <c r="B455" s="2" t="s">
        <v>51</v>
      </c>
    </row>
    <row r="456" spans="1:2" x14ac:dyDescent="0.25">
      <c r="A456" s="2">
        <v>455</v>
      </c>
      <c r="B456" s="2" t="s">
        <v>51</v>
      </c>
    </row>
    <row r="457" spans="1:2" x14ac:dyDescent="0.25">
      <c r="A457" s="2">
        <v>456</v>
      </c>
      <c r="B457" s="2" t="s">
        <v>48</v>
      </c>
    </row>
    <row r="458" spans="1:2" x14ac:dyDescent="0.25">
      <c r="A458" s="2">
        <v>457</v>
      </c>
      <c r="B458" s="2" t="s">
        <v>49</v>
      </c>
    </row>
    <row r="459" spans="1:2" x14ac:dyDescent="0.25">
      <c r="A459" s="2">
        <v>458</v>
      </c>
      <c r="B459" s="2" t="s">
        <v>51</v>
      </c>
    </row>
    <row r="460" spans="1:2" x14ac:dyDescent="0.25">
      <c r="A460" s="2">
        <v>459</v>
      </c>
      <c r="B460" s="2" t="s">
        <v>51</v>
      </c>
    </row>
    <row r="461" spans="1:2" x14ac:dyDescent="0.25">
      <c r="A461" s="2">
        <v>460</v>
      </c>
      <c r="B461" s="2" t="s">
        <v>51</v>
      </c>
    </row>
    <row r="462" spans="1:2" x14ac:dyDescent="0.25">
      <c r="A462" s="2">
        <v>461</v>
      </c>
      <c r="B462" s="2" t="s">
        <v>50</v>
      </c>
    </row>
    <row r="463" spans="1:2" x14ac:dyDescent="0.25">
      <c r="A463" s="2">
        <v>462</v>
      </c>
      <c r="B463" s="2" t="s">
        <v>50</v>
      </c>
    </row>
    <row r="464" spans="1:2" x14ac:dyDescent="0.25">
      <c r="A464" s="2">
        <v>463</v>
      </c>
      <c r="B464" s="2" t="s">
        <v>48</v>
      </c>
    </row>
    <row r="465" spans="1:2" x14ac:dyDescent="0.25">
      <c r="A465" s="2">
        <v>464</v>
      </c>
      <c r="B465" s="2" t="s">
        <v>48</v>
      </c>
    </row>
    <row r="466" spans="1:2" x14ac:dyDescent="0.25">
      <c r="A466" s="2">
        <v>465</v>
      </c>
      <c r="B466" s="2" t="s">
        <v>51</v>
      </c>
    </row>
    <row r="467" spans="1:2" x14ac:dyDescent="0.25">
      <c r="A467" s="2">
        <v>466</v>
      </c>
      <c r="B467" s="2" t="s">
        <v>51</v>
      </c>
    </row>
    <row r="468" spans="1:2" x14ac:dyDescent="0.25">
      <c r="A468" s="2">
        <v>467</v>
      </c>
      <c r="B468" s="2" t="s">
        <v>50</v>
      </c>
    </row>
    <row r="469" spans="1:2" x14ac:dyDescent="0.25">
      <c r="A469" s="2">
        <v>468</v>
      </c>
      <c r="B469" s="2" t="s">
        <v>51</v>
      </c>
    </row>
    <row r="470" spans="1:2" x14ac:dyDescent="0.25">
      <c r="A470" s="2">
        <v>469</v>
      </c>
      <c r="B470" s="2" t="s">
        <v>51</v>
      </c>
    </row>
    <row r="471" spans="1:2" x14ac:dyDescent="0.25">
      <c r="A471" s="2">
        <v>470</v>
      </c>
      <c r="B471" s="2" t="s">
        <v>49</v>
      </c>
    </row>
    <row r="472" spans="1:2" x14ac:dyDescent="0.25">
      <c r="A472" s="2">
        <v>471</v>
      </c>
      <c r="B472" s="2" t="s">
        <v>50</v>
      </c>
    </row>
    <row r="473" spans="1:2" x14ac:dyDescent="0.25">
      <c r="A473" s="2">
        <v>472</v>
      </c>
      <c r="B473" s="2" t="s">
        <v>50</v>
      </c>
    </row>
    <row r="474" spans="1:2" x14ac:dyDescent="0.25">
      <c r="A474" s="2">
        <v>473</v>
      </c>
      <c r="B474" s="2" t="s">
        <v>51</v>
      </c>
    </row>
    <row r="475" spans="1:2" x14ac:dyDescent="0.25">
      <c r="A475" s="2">
        <v>474</v>
      </c>
      <c r="B475" s="2" t="s">
        <v>49</v>
      </c>
    </row>
    <row r="476" spans="1:2" x14ac:dyDescent="0.25">
      <c r="A476" s="2">
        <v>475</v>
      </c>
      <c r="B476" s="2" t="s">
        <v>48</v>
      </c>
    </row>
    <row r="477" spans="1:2" x14ac:dyDescent="0.25">
      <c r="A477" s="2">
        <v>476</v>
      </c>
      <c r="B477" s="2" t="s">
        <v>49</v>
      </c>
    </row>
    <row r="478" spans="1:2" x14ac:dyDescent="0.25">
      <c r="A478" s="2">
        <v>477</v>
      </c>
      <c r="B478" s="2" t="s">
        <v>50</v>
      </c>
    </row>
    <row r="479" spans="1:2" x14ac:dyDescent="0.25">
      <c r="A479" s="2">
        <v>478</v>
      </c>
      <c r="B479" s="2" t="s">
        <v>49</v>
      </c>
    </row>
    <row r="480" spans="1:2" x14ac:dyDescent="0.25">
      <c r="A480" s="2">
        <v>479</v>
      </c>
      <c r="B480" s="2" t="s">
        <v>51</v>
      </c>
    </row>
    <row r="481" spans="1:2" x14ac:dyDescent="0.25">
      <c r="A481" s="2">
        <v>480</v>
      </c>
      <c r="B481" s="2" t="s">
        <v>49</v>
      </c>
    </row>
    <row r="482" spans="1:2" x14ac:dyDescent="0.25">
      <c r="A482" s="2">
        <v>481</v>
      </c>
      <c r="B482" s="2" t="s">
        <v>49</v>
      </c>
    </row>
    <row r="483" spans="1:2" x14ac:dyDescent="0.25">
      <c r="A483" s="2">
        <v>482</v>
      </c>
      <c r="B483" s="2" t="s">
        <v>49</v>
      </c>
    </row>
    <row r="484" spans="1:2" x14ac:dyDescent="0.25">
      <c r="A484" s="2">
        <v>483</v>
      </c>
      <c r="B484" s="2" t="s">
        <v>51</v>
      </c>
    </row>
    <row r="485" spans="1:2" x14ac:dyDescent="0.25">
      <c r="A485" s="2">
        <v>484</v>
      </c>
      <c r="B485" s="2" t="s">
        <v>49</v>
      </c>
    </row>
    <row r="486" spans="1:2" x14ac:dyDescent="0.25">
      <c r="A486" s="2">
        <v>485</v>
      </c>
      <c r="B486" s="2" t="s">
        <v>51</v>
      </c>
    </row>
    <row r="487" spans="1:2" x14ac:dyDescent="0.25">
      <c r="A487" s="2">
        <v>486</v>
      </c>
      <c r="B487" s="2" t="s">
        <v>49</v>
      </c>
    </row>
    <row r="488" spans="1:2" x14ac:dyDescent="0.25">
      <c r="A488" s="2">
        <v>487</v>
      </c>
      <c r="B488" s="2" t="s">
        <v>49</v>
      </c>
    </row>
    <row r="489" spans="1:2" x14ac:dyDescent="0.25">
      <c r="A489" s="2">
        <v>488</v>
      </c>
      <c r="B489" s="2" t="s">
        <v>48</v>
      </c>
    </row>
    <row r="490" spans="1:2" x14ac:dyDescent="0.25">
      <c r="A490" s="2">
        <v>489</v>
      </c>
      <c r="B490" s="2" t="s">
        <v>50</v>
      </c>
    </row>
    <row r="491" spans="1:2" x14ac:dyDescent="0.25">
      <c r="A491" s="2">
        <v>490</v>
      </c>
      <c r="B491" s="2" t="s">
        <v>48</v>
      </c>
    </row>
    <row r="492" spans="1:2" x14ac:dyDescent="0.25">
      <c r="A492" s="2">
        <v>491</v>
      </c>
      <c r="B492" s="2" t="s">
        <v>51</v>
      </c>
    </row>
    <row r="493" spans="1:2" x14ac:dyDescent="0.25">
      <c r="A493" s="2">
        <v>492</v>
      </c>
      <c r="B493" s="2" t="s">
        <v>48</v>
      </c>
    </row>
    <row r="494" spans="1:2" x14ac:dyDescent="0.25">
      <c r="A494" s="2">
        <v>493</v>
      </c>
      <c r="B494" s="2" t="s">
        <v>49</v>
      </c>
    </row>
    <row r="495" spans="1:2" x14ac:dyDescent="0.25">
      <c r="A495" s="2">
        <v>494</v>
      </c>
      <c r="B495" s="2" t="s">
        <v>49</v>
      </c>
    </row>
    <row r="496" spans="1:2" x14ac:dyDescent="0.25">
      <c r="A496" s="2">
        <v>495</v>
      </c>
      <c r="B496" s="2" t="s">
        <v>51</v>
      </c>
    </row>
    <row r="497" spans="1:2" x14ac:dyDescent="0.25">
      <c r="A497" s="2">
        <v>496</v>
      </c>
      <c r="B497" s="2" t="s">
        <v>48</v>
      </c>
    </row>
    <row r="498" spans="1:2" x14ac:dyDescent="0.25">
      <c r="A498" s="2">
        <v>497</v>
      </c>
      <c r="B498" s="2" t="s">
        <v>49</v>
      </c>
    </row>
    <row r="499" spans="1:2" x14ac:dyDescent="0.25">
      <c r="A499" s="2">
        <v>498</v>
      </c>
      <c r="B499" s="2" t="s">
        <v>49</v>
      </c>
    </row>
    <row r="500" spans="1:2" x14ac:dyDescent="0.25">
      <c r="A500" s="2">
        <v>499</v>
      </c>
      <c r="B500" s="2" t="s">
        <v>50</v>
      </c>
    </row>
    <row r="501" spans="1:2" x14ac:dyDescent="0.25">
      <c r="A501" s="2">
        <v>500</v>
      </c>
      <c r="B501" s="2" t="s">
        <v>50</v>
      </c>
    </row>
    <row r="502" spans="1:2" x14ac:dyDescent="0.25">
      <c r="A502" s="2">
        <v>501</v>
      </c>
      <c r="B502" s="2" t="s">
        <v>49</v>
      </c>
    </row>
    <row r="503" spans="1:2" x14ac:dyDescent="0.25">
      <c r="A503" s="2">
        <v>502</v>
      </c>
      <c r="B503" s="2" t="s">
        <v>48</v>
      </c>
    </row>
    <row r="504" spans="1:2" x14ac:dyDescent="0.25">
      <c r="A504" s="2">
        <v>503</v>
      </c>
      <c r="B504" s="2" t="s">
        <v>49</v>
      </c>
    </row>
    <row r="505" spans="1:2" x14ac:dyDescent="0.25">
      <c r="A505" s="2">
        <v>504</v>
      </c>
      <c r="B505" s="2" t="s">
        <v>51</v>
      </c>
    </row>
    <row r="506" spans="1:2" x14ac:dyDescent="0.25">
      <c r="A506" s="2">
        <v>505</v>
      </c>
      <c r="B506" s="2" t="s">
        <v>50</v>
      </c>
    </row>
    <row r="507" spans="1:2" x14ac:dyDescent="0.25">
      <c r="A507" s="2">
        <v>506</v>
      </c>
      <c r="B507" s="2" t="s">
        <v>49</v>
      </c>
    </row>
    <row r="508" spans="1:2" x14ac:dyDescent="0.25">
      <c r="A508" s="2">
        <v>507</v>
      </c>
      <c r="B508" s="2" t="s">
        <v>51</v>
      </c>
    </row>
    <row r="509" spans="1:2" x14ac:dyDescent="0.25">
      <c r="A509" s="2">
        <v>508</v>
      </c>
      <c r="B509" s="2" t="s">
        <v>49</v>
      </c>
    </row>
    <row r="510" spans="1:2" x14ac:dyDescent="0.25">
      <c r="A510" s="2">
        <v>509</v>
      </c>
      <c r="B510" s="2" t="s">
        <v>51</v>
      </c>
    </row>
    <row r="511" spans="1:2" x14ac:dyDescent="0.25">
      <c r="A511" s="2">
        <v>510</v>
      </c>
      <c r="B511" s="2" t="s">
        <v>49</v>
      </c>
    </row>
    <row r="512" spans="1:2" x14ac:dyDescent="0.25">
      <c r="A512" s="2">
        <v>511</v>
      </c>
      <c r="B512" s="2" t="s">
        <v>49</v>
      </c>
    </row>
    <row r="513" spans="1:2" x14ac:dyDescent="0.25">
      <c r="A513" s="2">
        <v>512</v>
      </c>
      <c r="B513" s="2" t="s">
        <v>51</v>
      </c>
    </row>
    <row r="514" spans="1:2" x14ac:dyDescent="0.25">
      <c r="A514" s="2">
        <v>513</v>
      </c>
      <c r="B514" s="2" t="s">
        <v>49</v>
      </c>
    </row>
    <row r="515" spans="1:2" x14ac:dyDescent="0.25">
      <c r="A515" s="2">
        <v>514</v>
      </c>
      <c r="B515" s="2" t="s">
        <v>51</v>
      </c>
    </row>
    <row r="516" spans="1:2" x14ac:dyDescent="0.25">
      <c r="A516" s="2">
        <v>515</v>
      </c>
      <c r="B516" s="2" t="s">
        <v>50</v>
      </c>
    </row>
    <row r="517" spans="1:2" x14ac:dyDescent="0.25">
      <c r="A517" s="2">
        <v>516</v>
      </c>
      <c r="B517" s="2" t="s">
        <v>51</v>
      </c>
    </row>
    <row r="518" spans="1:2" x14ac:dyDescent="0.25">
      <c r="A518" s="2">
        <v>517</v>
      </c>
      <c r="B518" s="2" t="s">
        <v>51</v>
      </c>
    </row>
    <row r="519" spans="1:2" x14ac:dyDescent="0.25">
      <c r="A519" s="2">
        <v>518</v>
      </c>
      <c r="B519" s="2" t="s">
        <v>49</v>
      </c>
    </row>
    <row r="520" spans="1:2" x14ac:dyDescent="0.25">
      <c r="A520" s="2">
        <v>519</v>
      </c>
      <c r="B520" s="2" t="s">
        <v>48</v>
      </c>
    </row>
    <row r="521" spans="1:2" x14ac:dyDescent="0.25">
      <c r="A521" s="2">
        <v>520</v>
      </c>
      <c r="B521" s="2" t="s">
        <v>49</v>
      </c>
    </row>
    <row r="522" spans="1:2" x14ac:dyDescent="0.25">
      <c r="A522" s="2">
        <v>521</v>
      </c>
      <c r="B522" s="2" t="s">
        <v>49</v>
      </c>
    </row>
    <row r="523" spans="1:2" x14ac:dyDescent="0.25">
      <c r="A523" s="2">
        <v>522</v>
      </c>
      <c r="B523" s="2" t="s">
        <v>51</v>
      </c>
    </row>
    <row r="524" spans="1:2" x14ac:dyDescent="0.25">
      <c r="A524" s="2">
        <v>523</v>
      </c>
      <c r="B524" s="2" t="s">
        <v>49</v>
      </c>
    </row>
    <row r="525" spans="1:2" x14ac:dyDescent="0.25">
      <c r="A525" s="2">
        <v>524</v>
      </c>
      <c r="B525" s="2" t="s">
        <v>50</v>
      </c>
    </row>
    <row r="526" spans="1:2" x14ac:dyDescent="0.25">
      <c r="A526" s="2">
        <v>525</v>
      </c>
      <c r="B526" s="2" t="s">
        <v>50</v>
      </c>
    </row>
    <row r="527" spans="1:2" x14ac:dyDescent="0.25">
      <c r="A527" s="2">
        <v>526</v>
      </c>
      <c r="B527" s="2" t="s">
        <v>48</v>
      </c>
    </row>
    <row r="528" spans="1:2" x14ac:dyDescent="0.25">
      <c r="A528" s="2">
        <v>527</v>
      </c>
      <c r="B528" s="2" t="s">
        <v>49</v>
      </c>
    </row>
    <row r="529" spans="1:2" x14ac:dyDescent="0.25">
      <c r="A529" s="2">
        <v>528</v>
      </c>
      <c r="B529" s="2" t="s">
        <v>51</v>
      </c>
    </row>
    <row r="530" spans="1:2" x14ac:dyDescent="0.25">
      <c r="A530" s="2">
        <v>529</v>
      </c>
      <c r="B530" s="2" t="s">
        <v>49</v>
      </c>
    </row>
    <row r="531" spans="1:2" x14ac:dyDescent="0.25">
      <c r="A531" s="2">
        <v>530</v>
      </c>
      <c r="B531" s="2" t="s">
        <v>51</v>
      </c>
    </row>
    <row r="532" spans="1:2" x14ac:dyDescent="0.25">
      <c r="A532" s="2">
        <v>531</v>
      </c>
      <c r="B532" s="2" t="s">
        <v>48</v>
      </c>
    </row>
    <row r="533" spans="1:2" x14ac:dyDescent="0.25">
      <c r="A533" s="2">
        <v>532</v>
      </c>
      <c r="B533" s="2" t="s">
        <v>48</v>
      </c>
    </row>
    <row r="534" spans="1:2" x14ac:dyDescent="0.25">
      <c r="A534" s="2">
        <v>533</v>
      </c>
      <c r="B534" s="2" t="s">
        <v>51</v>
      </c>
    </row>
    <row r="535" spans="1:2" x14ac:dyDescent="0.25">
      <c r="A535" s="2">
        <v>534</v>
      </c>
      <c r="B535" s="2" t="s">
        <v>51</v>
      </c>
    </row>
    <row r="536" spans="1:2" x14ac:dyDescent="0.25">
      <c r="A536" s="2">
        <v>535</v>
      </c>
      <c r="B536" s="2" t="s">
        <v>51</v>
      </c>
    </row>
    <row r="537" spans="1:2" x14ac:dyDescent="0.25">
      <c r="A537" s="2">
        <v>536</v>
      </c>
      <c r="B537" s="2" t="s">
        <v>49</v>
      </c>
    </row>
    <row r="538" spans="1:2" x14ac:dyDescent="0.25">
      <c r="A538" s="2">
        <v>537</v>
      </c>
      <c r="B538" s="2" t="s">
        <v>51</v>
      </c>
    </row>
    <row r="539" spans="1:2" x14ac:dyDescent="0.25">
      <c r="A539" s="2">
        <v>538</v>
      </c>
      <c r="B539" s="2" t="s">
        <v>48</v>
      </c>
    </row>
    <row r="540" spans="1:2" x14ac:dyDescent="0.25">
      <c r="A540" s="2">
        <v>539</v>
      </c>
      <c r="B540" s="2" t="s">
        <v>49</v>
      </c>
    </row>
    <row r="541" spans="1:2" x14ac:dyDescent="0.25">
      <c r="A541" s="2">
        <v>540</v>
      </c>
      <c r="B541" s="2" t="s">
        <v>49</v>
      </c>
    </row>
    <row r="542" spans="1:2" x14ac:dyDescent="0.25">
      <c r="A542" s="2">
        <v>541</v>
      </c>
      <c r="B542" s="2" t="s">
        <v>51</v>
      </c>
    </row>
    <row r="543" spans="1:2" x14ac:dyDescent="0.25">
      <c r="A543" s="2">
        <v>542</v>
      </c>
      <c r="B543" s="2" t="s">
        <v>48</v>
      </c>
    </row>
    <row r="544" spans="1:2" x14ac:dyDescent="0.25">
      <c r="A544" s="2">
        <v>543</v>
      </c>
      <c r="B544" s="2" t="s">
        <v>49</v>
      </c>
    </row>
    <row r="545" spans="1:2" x14ac:dyDescent="0.25">
      <c r="A545" s="2">
        <v>544</v>
      </c>
      <c r="B545" s="2" t="s">
        <v>51</v>
      </c>
    </row>
    <row r="546" spans="1:2" x14ac:dyDescent="0.25">
      <c r="A546" s="2">
        <v>545</v>
      </c>
      <c r="B546" s="2" t="s">
        <v>51</v>
      </c>
    </row>
    <row r="547" spans="1:2" x14ac:dyDescent="0.25">
      <c r="A547" s="2">
        <v>546</v>
      </c>
      <c r="B547" s="2" t="s">
        <v>50</v>
      </c>
    </row>
    <row r="548" spans="1:2" x14ac:dyDescent="0.25">
      <c r="A548" s="2">
        <v>547</v>
      </c>
      <c r="B548" s="2" t="s">
        <v>51</v>
      </c>
    </row>
    <row r="549" spans="1:2" x14ac:dyDescent="0.25">
      <c r="A549" s="2">
        <v>548</v>
      </c>
      <c r="B549" s="2" t="s">
        <v>49</v>
      </c>
    </row>
    <row r="550" spans="1:2" x14ac:dyDescent="0.25">
      <c r="A550" s="2">
        <v>549</v>
      </c>
      <c r="B550" s="2" t="s">
        <v>48</v>
      </c>
    </row>
    <row r="551" spans="1:2" x14ac:dyDescent="0.25">
      <c r="A551" s="2">
        <v>550</v>
      </c>
      <c r="B551" s="2" t="s">
        <v>51</v>
      </c>
    </row>
    <row r="552" spans="1:2" x14ac:dyDescent="0.25">
      <c r="A552" s="2">
        <v>551</v>
      </c>
      <c r="B552" s="2" t="s">
        <v>48</v>
      </c>
    </row>
    <row r="553" spans="1:2" x14ac:dyDescent="0.25">
      <c r="A553" s="2">
        <v>552</v>
      </c>
      <c r="B553" s="2" t="s">
        <v>51</v>
      </c>
    </row>
    <row r="554" spans="1:2" x14ac:dyDescent="0.25">
      <c r="A554" s="2">
        <v>553</v>
      </c>
      <c r="B554" s="2" t="s">
        <v>48</v>
      </c>
    </row>
    <row r="555" spans="1:2" x14ac:dyDescent="0.25">
      <c r="A555" s="2">
        <v>554</v>
      </c>
      <c r="B555" s="2" t="s">
        <v>49</v>
      </c>
    </row>
    <row r="556" spans="1:2" x14ac:dyDescent="0.25">
      <c r="A556" s="2">
        <v>555</v>
      </c>
      <c r="B556" s="2" t="s">
        <v>51</v>
      </c>
    </row>
    <row r="557" spans="1:2" x14ac:dyDescent="0.25">
      <c r="A557" s="2">
        <v>556</v>
      </c>
      <c r="B557" s="2" t="s">
        <v>49</v>
      </c>
    </row>
    <row r="558" spans="1:2" x14ac:dyDescent="0.25">
      <c r="A558" s="2">
        <v>557</v>
      </c>
      <c r="B558" s="2" t="s">
        <v>48</v>
      </c>
    </row>
    <row r="559" spans="1:2" x14ac:dyDescent="0.25">
      <c r="A559" s="2">
        <v>558</v>
      </c>
      <c r="B559" s="2" t="s">
        <v>51</v>
      </c>
    </row>
    <row r="560" spans="1:2" x14ac:dyDescent="0.25">
      <c r="A560" s="2">
        <v>559</v>
      </c>
      <c r="B560" s="2" t="s">
        <v>51</v>
      </c>
    </row>
    <row r="561" spans="1:2" x14ac:dyDescent="0.25">
      <c r="A561" s="2">
        <v>560</v>
      </c>
      <c r="B561" s="2" t="s">
        <v>49</v>
      </c>
    </row>
    <row r="562" spans="1:2" x14ac:dyDescent="0.25">
      <c r="A562" s="2">
        <v>561</v>
      </c>
      <c r="B562" s="2" t="s">
        <v>51</v>
      </c>
    </row>
    <row r="563" spans="1:2" x14ac:dyDescent="0.25">
      <c r="A563" s="2">
        <v>562</v>
      </c>
      <c r="B563" s="2" t="s">
        <v>51</v>
      </c>
    </row>
    <row r="564" spans="1:2" x14ac:dyDescent="0.25">
      <c r="A564" s="2">
        <v>563</v>
      </c>
      <c r="B564" s="2" t="s">
        <v>49</v>
      </c>
    </row>
    <row r="565" spans="1:2" x14ac:dyDescent="0.25">
      <c r="A565" s="2">
        <v>564</v>
      </c>
      <c r="B565" s="2" t="s">
        <v>49</v>
      </c>
    </row>
    <row r="566" spans="1:2" x14ac:dyDescent="0.25">
      <c r="A566" s="2">
        <v>565</v>
      </c>
      <c r="B566" s="2" t="s">
        <v>51</v>
      </c>
    </row>
    <row r="567" spans="1:2" x14ac:dyDescent="0.25">
      <c r="A567" s="2">
        <v>566</v>
      </c>
      <c r="B567" s="2" t="s">
        <v>49</v>
      </c>
    </row>
    <row r="568" spans="1:2" x14ac:dyDescent="0.25">
      <c r="A568" s="2">
        <v>567</v>
      </c>
      <c r="B568" s="2" t="s">
        <v>51</v>
      </c>
    </row>
    <row r="569" spans="1:2" x14ac:dyDescent="0.25">
      <c r="A569" s="2">
        <v>568</v>
      </c>
      <c r="B569" s="2" t="s">
        <v>51</v>
      </c>
    </row>
    <row r="570" spans="1:2" x14ac:dyDescent="0.25">
      <c r="A570" s="2">
        <v>569</v>
      </c>
      <c r="B570" s="2" t="s">
        <v>50</v>
      </c>
    </row>
    <row r="571" spans="1:2" x14ac:dyDescent="0.25">
      <c r="A571" s="2">
        <v>570</v>
      </c>
      <c r="B571" s="2" t="s">
        <v>49</v>
      </c>
    </row>
    <row r="572" spans="1:2" x14ac:dyDescent="0.25">
      <c r="A572" s="2">
        <v>571</v>
      </c>
      <c r="B572" s="2" t="s">
        <v>48</v>
      </c>
    </row>
    <row r="573" spans="1:2" x14ac:dyDescent="0.25">
      <c r="A573" s="2">
        <v>572</v>
      </c>
      <c r="B573" s="2" t="s">
        <v>49</v>
      </c>
    </row>
    <row r="574" spans="1:2" x14ac:dyDescent="0.25">
      <c r="A574" s="2">
        <v>573</v>
      </c>
      <c r="B574" s="2" t="s">
        <v>49</v>
      </c>
    </row>
    <row r="575" spans="1:2" x14ac:dyDescent="0.25">
      <c r="A575" s="2">
        <v>574</v>
      </c>
      <c r="B575" s="2" t="s">
        <v>49</v>
      </c>
    </row>
    <row r="576" spans="1:2" x14ac:dyDescent="0.25">
      <c r="A576" s="2">
        <v>575</v>
      </c>
      <c r="B576" s="2" t="s">
        <v>48</v>
      </c>
    </row>
    <row r="577" spans="1:2" x14ac:dyDescent="0.25">
      <c r="A577" s="2">
        <v>576</v>
      </c>
      <c r="B577" s="2" t="s">
        <v>48</v>
      </c>
    </row>
    <row r="578" spans="1:2" x14ac:dyDescent="0.25">
      <c r="A578" s="2">
        <v>577</v>
      </c>
      <c r="B578" s="2" t="s">
        <v>51</v>
      </c>
    </row>
    <row r="579" spans="1:2" x14ac:dyDescent="0.25">
      <c r="A579" s="2">
        <v>578</v>
      </c>
      <c r="B579" s="2" t="s">
        <v>49</v>
      </c>
    </row>
    <row r="580" spans="1:2" x14ac:dyDescent="0.25">
      <c r="A580" s="2">
        <v>579</v>
      </c>
      <c r="B580" s="2" t="s">
        <v>48</v>
      </c>
    </row>
    <row r="581" spans="1:2" x14ac:dyDescent="0.25">
      <c r="A581" s="2">
        <v>580</v>
      </c>
      <c r="B581" s="2" t="s">
        <v>49</v>
      </c>
    </row>
    <row r="582" spans="1:2" x14ac:dyDescent="0.25">
      <c r="A582" s="2">
        <v>581</v>
      </c>
      <c r="B582" s="2" t="s">
        <v>51</v>
      </c>
    </row>
    <row r="583" spans="1:2" x14ac:dyDescent="0.25">
      <c r="A583" s="2">
        <v>582</v>
      </c>
      <c r="B583" s="2" t="s">
        <v>48</v>
      </c>
    </row>
    <row r="584" spans="1:2" x14ac:dyDescent="0.25">
      <c r="A584" s="2">
        <v>583</v>
      </c>
      <c r="B584" s="2" t="s">
        <v>49</v>
      </c>
    </row>
    <row r="585" spans="1:2" x14ac:dyDescent="0.25">
      <c r="A585" s="2">
        <v>584</v>
      </c>
      <c r="B585" s="2" t="s">
        <v>49</v>
      </c>
    </row>
    <row r="586" spans="1:2" x14ac:dyDescent="0.25">
      <c r="A586" s="2">
        <v>585</v>
      </c>
      <c r="B586" s="2" t="s">
        <v>49</v>
      </c>
    </row>
    <row r="587" spans="1:2" x14ac:dyDescent="0.25">
      <c r="A587" s="2">
        <v>586</v>
      </c>
      <c r="B587" s="2" t="s">
        <v>49</v>
      </c>
    </row>
    <row r="588" spans="1:2" x14ac:dyDescent="0.25">
      <c r="A588" s="2">
        <v>587</v>
      </c>
      <c r="B588" s="2" t="s">
        <v>49</v>
      </c>
    </row>
    <row r="589" spans="1:2" x14ac:dyDescent="0.25">
      <c r="A589" s="2">
        <v>588</v>
      </c>
      <c r="B589" s="2" t="s">
        <v>50</v>
      </c>
    </row>
    <row r="590" spans="1:2" x14ac:dyDescent="0.25">
      <c r="A590" s="2">
        <v>589</v>
      </c>
      <c r="B590" s="2" t="s">
        <v>51</v>
      </c>
    </row>
    <row r="591" spans="1:2" x14ac:dyDescent="0.25">
      <c r="A591" s="2">
        <v>590</v>
      </c>
      <c r="B591" s="2" t="s">
        <v>48</v>
      </c>
    </row>
    <row r="592" spans="1:2" x14ac:dyDescent="0.25">
      <c r="A592" s="2">
        <v>591</v>
      </c>
      <c r="B592" s="2" t="s">
        <v>49</v>
      </c>
    </row>
    <row r="593" spans="1:2" x14ac:dyDescent="0.25">
      <c r="A593" s="2">
        <v>592</v>
      </c>
      <c r="B593" s="2" t="s">
        <v>48</v>
      </c>
    </row>
    <row r="594" spans="1:2" x14ac:dyDescent="0.25">
      <c r="A594" s="2">
        <v>593</v>
      </c>
      <c r="B594" s="2" t="s">
        <v>49</v>
      </c>
    </row>
    <row r="595" spans="1:2" x14ac:dyDescent="0.25">
      <c r="A595" s="2">
        <v>594</v>
      </c>
      <c r="B595" s="2" t="s">
        <v>48</v>
      </c>
    </row>
    <row r="596" spans="1:2" x14ac:dyDescent="0.25">
      <c r="A596" s="2">
        <v>595</v>
      </c>
      <c r="B596" s="2" t="s">
        <v>51</v>
      </c>
    </row>
    <row r="597" spans="1:2" x14ac:dyDescent="0.25">
      <c r="A597" s="2">
        <v>596</v>
      </c>
      <c r="B597" s="2" t="s">
        <v>51</v>
      </c>
    </row>
    <row r="598" spans="1:2" x14ac:dyDescent="0.25">
      <c r="A598" s="2">
        <v>597</v>
      </c>
      <c r="B598" s="2" t="s">
        <v>49</v>
      </c>
    </row>
    <row r="599" spans="1:2" x14ac:dyDescent="0.25">
      <c r="A599" s="2">
        <v>598</v>
      </c>
      <c r="B599" s="2" t="s">
        <v>50</v>
      </c>
    </row>
    <row r="600" spans="1:2" x14ac:dyDescent="0.25">
      <c r="A600" s="2">
        <v>599</v>
      </c>
      <c r="B600" s="2" t="s">
        <v>49</v>
      </c>
    </row>
    <row r="601" spans="1:2" x14ac:dyDescent="0.25">
      <c r="A601" s="2">
        <v>600</v>
      </c>
      <c r="B601" s="2" t="s">
        <v>51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0E16-5D01-499B-ADD6-B3C3B84FCA30}">
  <dimension ref="A1:J201"/>
  <sheetViews>
    <sheetView topLeftCell="A13" zoomScale="121" zoomScaleNormal="121" workbookViewId="0">
      <selection activeCell="J42" sqref="J42"/>
    </sheetView>
  </sheetViews>
  <sheetFormatPr defaultRowHeight="15" x14ac:dyDescent="0.25"/>
  <cols>
    <col min="1" max="1" width="5.28515625" bestFit="1" customWidth="1"/>
    <col min="3" max="3" width="13" bestFit="1" customWidth="1"/>
    <col min="4" max="4" width="12.28515625" bestFit="1" customWidth="1"/>
    <col min="5" max="5" width="7.140625" bestFit="1" customWidth="1"/>
    <col min="7" max="7" width="10.28515625" bestFit="1" customWidth="1"/>
    <col min="8" max="8" width="18.28515625" bestFit="1" customWidth="1"/>
    <col min="9" max="9" width="23" bestFit="1" customWidth="1"/>
    <col min="10" max="10" width="31.85546875" bestFit="1" customWidth="1"/>
  </cols>
  <sheetData>
    <row r="1" spans="1:10" x14ac:dyDescent="0.25">
      <c r="A1" t="s">
        <v>40</v>
      </c>
    </row>
    <row r="2" spans="1:10" x14ac:dyDescent="0.25">
      <c r="A2">
        <v>73</v>
      </c>
    </row>
    <row r="3" spans="1:10" x14ac:dyDescent="0.25">
      <c r="A3">
        <v>53</v>
      </c>
    </row>
    <row r="4" spans="1:10" x14ac:dyDescent="0.25">
      <c r="A4">
        <v>66</v>
      </c>
    </row>
    <row r="5" spans="1:10" x14ac:dyDescent="0.25">
      <c r="A5">
        <v>82</v>
      </c>
      <c r="C5" t="s">
        <v>62</v>
      </c>
      <c r="D5">
        <f>MIN(A2:A201)</f>
        <v>16</v>
      </c>
    </row>
    <row r="6" spans="1:10" x14ac:dyDescent="0.25">
      <c r="A6">
        <v>54</v>
      </c>
      <c r="C6" t="s">
        <v>63</v>
      </c>
      <c r="D6">
        <f>MAX(A2:A201)</f>
        <v>99</v>
      </c>
    </row>
    <row r="7" spans="1:10" x14ac:dyDescent="0.25">
      <c r="A7">
        <v>53</v>
      </c>
    </row>
    <row r="8" spans="1:10" x14ac:dyDescent="0.25">
      <c r="A8">
        <v>78</v>
      </c>
      <c r="C8" t="s">
        <v>64</v>
      </c>
      <c r="D8" s="5">
        <f>1+(3.3*LOG10(200))</f>
        <v>8.5933989856911381</v>
      </c>
      <c r="E8" s="5" t="s">
        <v>72</v>
      </c>
      <c r="F8">
        <v>9</v>
      </c>
    </row>
    <row r="9" spans="1:10" x14ac:dyDescent="0.25">
      <c r="A9">
        <v>33</v>
      </c>
    </row>
    <row r="10" spans="1:10" x14ac:dyDescent="0.25">
      <c r="A10">
        <v>35</v>
      </c>
      <c r="C10" t="s">
        <v>65</v>
      </c>
      <c r="D10" s="5">
        <f>(D6-D5)/9</f>
        <v>9.2222222222222214</v>
      </c>
      <c r="E10" t="s">
        <v>72</v>
      </c>
      <c r="F10">
        <v>10</v>
      </c>
    </row>
    <row r="11" spans="1:10" x14ac:dyDescent="0.25">
      <c r="A11">
        <v>40</v>
      </c>
    </row>
    <row r="12" spans="1:10" x14ac:dyDescent="0.25">
      <c r="A12">
        <v>65</v>
      </c>
    </row>
    <row r="13" spans="1:10" x14ac:dyDescent="0.25">
      <c r="A13">
        <v>74</v>
      </c>
      <c r="C13" t="s">
        <v>73</v>
      </c>
      <c r="D13" t="s">
        <v>74</v>
      </c>
      <c r="E13" t="s">
        <v>66</v>
      </c>
      <c r="F13" t="s">
        <v>67</v>
      </c>
      <c r="G13" t="s">
        <v>52</v>
      </c>
      <c r="H13" t="s">
        <v>53</v>
      </c>
      <c r="I13" t="s">
        <v>68</v>
      </c>
      <c r="J13" t="s">
        <v>69</v>
      </c>
    </row>
    <row r="14" spans="1:10" x14ac:dyDescent="0.25">
      <c r="A14">
        <v>55</v>
      </c>
      <c r="C14">
        <v>16</v>
      </c>
      <c r="D14">
        <f>D5+F10</f>
        <v>26</v>
      </c>
      <c r="E14" t="str">
        <f>_xlfn.CONCAT(C14,"-",D14)</f>
        <v>16-26</v>
      </c>
      <c r="F14">
        <f>(C14+D14)/2</f>
        <v>21</v>
      </c>
      <c r="G14">
        <f>COUNTIFS(A2:A201,"&gt;="&amp;C14,A2:A201,"&lt;"&amp;D14)</f>
        <v>16</v>
      </c>
      <c r="H14">
        <f>G14/200*100</f>
        <v>8</v>
      </c>
      <c r="I14">
        <v>16</v>
      </c>
      <c r="J14">
        <f>I14/200*100</f>
        <v>8</v>
      </c>
    </row>
    <row r="15" spans="1:10" x14ac:dyDescent="0.25">
      <c r="A15">
        <v>82</v>
      </c>
      <c r="C15">
        <f>C14+10</f>
        <v>26</v>
      </c>
      <c r="D15">
        <f>D14+10</f>
        <v>36</v>
      </c>
      <c r="E15" t="str">
        <f t="shared" ref="E15:E22" si="0">_xlfn.CONCAT(C15,"-",D15)</f>
        <v>26-36</v>
      </c>
      <c r="F15">
        <f t="shared" ref="F15:F22" si="1">(C15+D15)/2</f>
        <v>31</v>
      </c>
      <c r="G15">
        <f>COUNTIFS(A2:A202,"&gt;="&amp;C15,A2:A202,"&lt;"&amp;D15)</f>
        <v>33</v>
      </c>
      <c r="H15">
        <f t="shared" ref="H15:H22" si="2">G15/200*100</f>
        <v>16.5</v>
      </c>
      <c r="I15">
        <f>I14+G15</f>
        <v>49</v>
      </c>
      <c r="J15">
        <f t="shared" ref="J15:J22" si="3">I15/200*100</f>
        <v>24.5</v>
      </c>
    </row>
    <row r="16" spans="1:10" x14ac:dyDescent="0.25">
      <c r="A16">
        <v>74</v>
      </c>
      <c r="C16">
        <f t="shared" ref="C16:C22" si="4">C15+10</f>
        <v>36</v>
      </c>
      <c r="D16">
        <f t="shared" ref="D16:D22" si="5">D15+10</f>
        <v>46</v>
      </c>
      <c r="E16" t="str">
        <f t="shared" si="0"/>
        <v>36-46</v>
      </c>
      <c r="F16">
        <f t="shared" si="1"/>
        <v>41</v>
      </c>
      <c r="G16">
        <f t="shared" ref="G16:G22" si="6">COUNTIFS(A4:A203,"&gt;="&amp;C16,A4:A203,"&lt;"&amp;D16)</f>
        <v>21</v>
      </c>
      <c r="H16">
        <f t="shared" si="2"/>
        <v>10.5</v>
      </c>
      <c r="I16">
        <f>I15+G16</f>
        <v>70</v>
      </c>
      <c r="J16">
        <f t="shared" si="3"/>
        <v>35</v>
      </c>
    </row>
    <row r="17" spans="1:10" x14ac:dyDescent="0.25">
      <c r="A17">
        <v>76</v>
      </c>
      <c r="C17">
        <f t="shared" si="4"/>
        <v>46</v>
      </c>
      <c r="D17">
        <f t="shared" si="5"/>
        <v>56</v>
      </c>
      <c r="E17" t="str">
        <f t="shared" si="0"/>
        <v>46-56</v>
      </c>
      <c r="F17">
        <f t="shared" si="1"/>
        <v>51</v>
      </c>
      <c r="G17">
        <f>COUNTIFS(A2:A204,"&gt;="&amp;C17,A2:A204,"&lt;"&amp;D17)</f>
        <v>33</v>
      </c>
      <c r="H17">
        <f t="shared" si="2"/>
        <v>16.5</v>
      </c>
      <c r="I17">
        <f>I16+G17</f>
        <v>103</v>
      </c>
      <c r="J17">
        <f t="shared" si="3"/>
        <v>51.5</v>
      </c>
    </row>
    <row r="18" spans="1:10" x14ac:dyDescent="0.25">
      <c r="A18">
        <v>57</v>
      </c>
      <c r="C18">
        <f t="shared" si="4"/>
        <v>56</v>
      </c>
      <c r="D18">
        <f t="shared" si="5"/>
        <v>66</v>
      </c>
      <c r="E18" t="str">
        <f t="shared" si="0"/>
        <v>56-66</v>
      </c>
      <c r="F18">
        <f t="shared" si="1"/>
        <v>61</v>
      </c>
      <c r="G18">
        <f t="shared" si="6"/>
        <v>38</v>
      </c>
      <c r="H18">
        <f t="shared" si="2"/>
        <v>19</v>
      </c>
      <c r="I18">
        <f t="shared" ref="I18:I22" si="7">I17+G18</f>
        <v>141</v>
      </c>
      <c r="J18">
        <f t="shared" si="3"/>
        <v>70.5</v>
      </c>
    </row>
    <row r="19" spans="1:10" x14ac:dyDescent="0.25">
      <c r="A19">
        <v>63</v>
      </c>
      <c r="C19">
        <f t="shared" si="4"/>
        <v>66</v>
      </c>
      <c r="D19">
        <f t="shared" si="5"/>
        <v>76</v>
      </c>
      <c r="E19" t="str">
        <f t="shared" si="0"/>
        <v>66-76</v>
      </c>
      <c r="F19">
        <f t="shared" si="1"/>
        <v>71</v>
      </c>
      <c r="G19">
        <f>COUNTIFS(A2:A206,"&gt;="&amp;C19,A2:A206,"&lt;"&amp;D19)</f>
        <v>32</v>
      </c>
      <c r="H19">
        <f t="shared" si="2"/>
        <v>16</v>
      </c>
      <c r="I19">
        <f t="shared" si="7"/>
        <v>173</v>
      </c>
      <c r="J19">
        <f t="shared" si="3"/>
        <v>86.5</v>
      </c>
    </row>
    <row r="20" spans="1:10" x14ac:dyDescent="0.25">
      <c r="A20">
        <v>65</v>
      </c>
      <c r="C20">
        <f t="shared" si="4"/>
        <v>76</v>
      </c>
      <c r="D20">
        <f t="shared" si="5"/>
        <v>86</v>
      </c>
      <c r="E20" t="str">
        <f t="shared" si="0"/>
        <v>76-86</v>
      </c>
      <c r="F20">
        <f t="shared" si="1"/>
        <v>81</v>
      </c>
      <c r="G20">
        <f>COUNTIFS(A2:A207,"&gt;="&amp;C20,A2:$A207,"&lt;"&amp;D20)</f>
        <v>19</v>
      </c>
      <c r="H20">
        <f t="shared" si="2"/>
        <v>9.5</v>
      </c>
      <c r="I20">
        <f t="shared" si="7"/>
        <v>192</v>
      </c>
      <c r="J20">
        <f t="shared" si="3"/>
        <v>96</v>
      </c>
    </row>
    <row r="21" spans="1:10" x14ac:dyDescent="0.25">
      <c r="A21">
        <v>33</v>
      </c>
      <c r="C21">
        <f t="shared" si="4"/>
        <v>86</v>
      </c>
      <c r="D21">
        <f t="shared" si="5"/>
        <v>96</v>
      </c>
      <c r="E21" t="str">
        <f t="shared" si="0"/>
        <v>86-96</v>
      </c>
      <c r="F21">
        <f t="shared" si="1"/>
        <v>91</v>
      </c>
      <c r="G21">
        <f t="shared" si="6"/>
        <v>6</v>
      </c>
      <c r="H21">
        <f t="shared" si="2"/>
        <v>3</v>
      </c>
      <c r="I21">
        <f t="shared" si="7"/>
        <v>198</v>
      </c>
      <c r="J21">
        <f t="shared" si="3"/>
        <v>99</v>
      </c>
    </row>
    <row r="22" spans="1:10" x14ac:dyDescent="0.25">
      <c r="A22">
        <v>77</v>
      </c>
      <c r="C22">
        <f t="shared" si="4"/>
        <v>96</v>
      </c>
      <c r="D22">
        <f t="shared" si="5"/>
        <v>106</v>
      </c>
      <c r="E22" t="str">
        <f t="shared" si="0"/>
        <v>96-106</v>
      </c>
      <c r="F22">
        <f t="shared" si="1"/>
        <v>101</v>
      </c>
      <c r="G22">
        <f t="shared" si="6"/>
        <v>2</v>
      </c>
      <c r="H22">
        <f t="shared" si="2"/>
        <v>1</v>
      </c>
      <c r="I22">
        <f t="shared" si="7"/>
        <v>200</v>
      </c>
      <c r="J22">
        <f t="shared" si="3"/>
        <v>100</v>
      </c>
    </row>
    <row r="23" spans="1:10" x14ac:dyDescent="0.25">
      <c r="A23">
        <v>73</v>
      </c>
    </row>
    <row r="24" spans="1:10" x14ac:dyDescent="0.25">
      <c r="A24">
        <v>68</v>
      </c>
    </row>
    <row r="25" spans="1:10" x14ac:dyDescent="0.25">
      <c r="A25">
        <v>72</v>
      </c>
    </row>
    <row r="26" spans="1:10" x14ac:dyDescent="0.25">
      <c r="A26">
        <v>57</v>
      </c>
    </row>
    <row r="27" spans="1:10" x14ac:dyDescent="0.25">
      <c r="A27">
        <v>30</v>
      </c>
    </row>
    <row r="28" spans="1:10" x14ac:dyDescent="0.25">
      <c r="A28">
        <v>28</v>
      </c>
    </row>
    <row r="29" spans="1:10" x14ac:dyDescent="0.25">
      <c r="A29">
        <v>71</v>
      </c>
    </row>
    <row r="30" spans="1:10" x14ac:dyDescent="0.25">
      <c r="A30">
        <v>30</v>
      </c>
    </row>
    <row r="31" spans="1:10" x14ac:dyDescent="0.25">
      <c r="A31">
        <v>59</v>
      </c>
    </row>
    <row r="32" spans="1:10" x14ac:dyDescent="0.25">
      <c r="A32">
        <v>74</v>
      </c>
    </row>
    <row r="33" spans="1:1" x14ac:dyDescent="0.25">
      <c r="A33">
        <v>28</v>
      </c>
    </row>
    <row r="34" spans="1:1" x14ac:dyDescent="0.25">
      <c r="A34">
        <v>55</v>
      </c>
    </row>
    <row r="35" spans="1:1" x14ac:dyDescent="0.25">
      <c r="A35">
        <v>52</v>
      </c>
    </row>
    <row r="36" spans="1:1" x14ac:dyDescent="0.25">
      <c r="A36">
        <v>75</v>
      </c>
    </row>
    <row r="37" spans="1:1" x14ac:dyDescent="0.25">
      <c r="A37">
        <v>61</v>
      </c>
    </row>
    <row r="38" spans="1:1" x14ac:dyDescent="0.25">
      <c r="A38">
        <v>36</v>
      </c>
    </row>
    <row r="39" spans="1:1" x14ac:dyDescent="0.25">
      <c r="A39">
        <v>37</v>
      </c>
    </row>
    <row r="40" spans="1:1" x14ac:dyDescent="0.25">
      <c r="A40">
        <v>95</v>
      </c>
    </row>
    <row r="41" spans="1:1" x14ac:dyDescent="0.25">
      <c r="A41">
        <v>54</v>
      </c>
    </row>
    <row r="42" spans="1:1" x14ac:dyDescent="0.25">
      <c r="A42">
        <v>62</v>
      </c>
    </row>
    <row r="43" spans="1:1" x14ac:dyDescent="0.25">
      <c r="A43">
        <v>94</v>
      </c>
    </row>
    <row r="44" spans="1:1" x14ac:dyDescent="0.25">
      <c r="A44">
        <v>64</v>
      </c>
    </row>
    <row r="45" spans="1:1" x14ac:dyDescent="0.25">
      <c r="A45">
        <v>83</v>
      </c>
    </row>
    <row r="46" spans="1:1" x14ac:dyDescent="0.25">
      <c r="A46">
        <v>24</v>
      </c>
    </row>
    <row r="47" spans="1:1" x14ac:dyDescent="0.25">
      <c r="A47">
        <v>28</v>
      </c>
    </row>
    <row r="48" spans="1:1" x14ac:dyDescent="0.25">
      <c r="A48">
        <v>69</v>
      </c>
    </row>
    <row r="49" spans="1:1" x14ac:dyDescent="0.25">
      <c r="A49">
        <v>62</v>
      </c>
    </row>
    <row r="50" spans="1:1" x14ac:dyDescent="0.25">
      <c r="A50">
        <v>25</v>
      </c>
    </row>
    <row r="51" spans="1:1" x14ac:dyDescent="0.25">
      <c r="A51">
        <v>63</v>
      </c>
    </row>
    <row r="52" spans="1:1" x14ac:dyDescent="0.25">
      <c r="A52">
        <v>81</v>
      </c>
    </row>
    <row r="53" spans="1:1" x14ac:dyDescent="0.25">
      <c r="A53">
        <v>65</v>
      </c>
    </row>
    <row r="54" spans="1:1" x14ac:dyDescent="0.25">
      <c r="A54">
        <v>91</v>
      </c>
    </row>
    <row r="55" spans="1:1" x14ac:dyDescent="0.25">
      <c r="A55">
        <v>26</v>
      </c>
    </row>
    <row r="56" spans="1:1" x14ac:dyDescent="0.25">
      <c r="A56">
        <v>35</v>
      </c>
    </row>
    <row r="57" spans="1:1" x14ac:dyDescent="0.25">
      <c r="A57">
        <v>52</v>
      </c>
    </row>
    <row r="58" spans="1:1" x14ac:dyDescent="0.25">
      <c r="A58">
        <v>83</v>
      </c>
    </row>
    <row r="59" spans="1:1" x14ac:dyDescent="0.25">
      <c r="A59">
        <v>25</v>
      </c>
    </row>
    <row r="60" spans="1:1" x14ac:dyDescent="0.25">
      <c r="A60">
        <v>63</v>
      </c>
    </row>
    <row r="61" spans="1:1" x14ac:dyDescent="0.25">
      <c r="A61">
        <v>99</v>
      </c>
    </row>
    <row r="62" spans="1:1" x14ac:dyDescent="0.25">
      <c r="A62">
        <v>35</v>
      </c>
    </row>
    <row r="63" spans="1:1" x14ac:dyDescent="0.25">
      <c r="A63">
        <v>75</v>
      </c>
    </row>
    <row r="64" spans="1:1" x14ac:dyDescent="0.25">
      <c r="A64">
        <v>83</v>
      </c>
    </row>
    <row r="65" spans="1:1" x14ac:dyDescent="0.25">
      <c r="A65">
        <v>26</v>
      </c>
    </row>
    <row r="66" spans="1:1" x14ac:dyDescent="0.25">
      <c r="A66">
        <v>30</v>
      </c>
    </row>
    <row r="67" spans="1:1" x14ac:dyDescent="0.25">
      <c r="A67">
        <v>28</v>
      </c>
    </row>
    <row r="68" spans="1:1" x14ac:dyDescent="0.25">
      <c r="A68">
        <v>61</v>
      </c>
    </row>
    <row r="69" spans="1:1" x14ac:dyDescent="0.25">
      <c r="A69">
        <v>52</v>
      </c>
    </row>
    <row r="70" spans="1:1" x14ac:dyDescent="0.25">
      <c r="A70">
        <v>36</v>
      </c>
    </row>
    <row r="71" spans="1:1" x14ac:dyDescent="0.25">
      <c r="A71">
        <v>37</v>
      </c>
    </row>
    <row r="72" spans="1:1" x14ac:dyDescent="0.25">
      <c r="A72">
        <v>38</v>
      </c>
    </row>
    <row r="73" spans="1:1" x14ac:dyDescent="0.25">
      <c r="A73">
        <v>24</v>
      </c>
    </row>
    <row r="74" spans="1:1" x14ac:dyDescent="0.25">
      <c r="A74">
        <v>22</v>
      </c>
    </row>
    <row r="75" spans="1:1" x14ac:dyDescent="0.25">
      <c r="A75">
        <v>18</v>
      </c>
    </row>
    <row r="76" spans="1:1" x14ac:dyDescent="0.25">
      <c r="A76">
        <v>70</v>
      </c>
    </row>
    <row r="77" spans="1:1" x14ac:dyDescent="0.25">
      <c r="A77">
        <v>71</v>
      </c>
    </row>
    <row r="78" spans="1:1" x14ac:dyDescent="0.25">
      <c r="A78">
        <v>36</v>
      </c>
    </row>
    <row r="79" spans="1:1" x14ac:dyDescent="0.25">
      <c r="A79">
        <v>54</v>
      </c>
    </row>
    <row r="80" spans="1:1" x14ac:dyDescent="0.25">
      <c r="A80">
        <v>48</v>
      </c>
    </row>
    <row r="81" spans="1:1" x14ac:dyDescent="0.25">
      <c r="A81">
        <v>31</v>
      </c>
    </row>
    <row r="82" spans="1:1" x14ac:dyDescent="0.25">
      <c r="A82">
        <v>33</v>
      </c>
    </row>
    <row r="83" spans="1:1" x14ac:dyDescent="0.25">
      <c r="A83">
        <v>72</v>
      </c>
    </row>
    <row r="84" spans="1:1" x14ac:dyDescent="0.25">
      <c r="A84">
        <v>62</v>
      </c>
    </row>
    <row r="85" spans="1:1" x14ac:dyDescent="0.25">
      <c r="A85">
        <v>82</v>
      </c>
    </row>
    <row r="86" spans="1:1" x14ac:dyDescent="0.25">
      <c r="A86">
        <v>70</v>
      </c>
    </row>
    <row r="87" spans="1:1" x14ac:dyDescent="0.25">
      <c r="A87">
        <v>32</v>
      </c>
    </row>
    <row r="88" spans="1:1" x14ac:dyDescent="0.25">
      <c r="A88">
        <v>33</v>
      </c>
    </row>
    <row r="89" spans="1:1" x14ac:dyDescent="0.25">
      <c r="A89">
        <v>44</v>
      </c>
    </row>
    <row r="90" spans="1:1" x14ac:dyDescent="0.25">
      <c r="A90">
        <v>30</v>
      </c>
    </row>
    <row r="91" spans="1:1" x14ac:dyDescent="0.25">
      <c r="A91">
        <v>76</v>
      </c>
    </row>
    <row r="92" spans="1:1" x14ac:dyDescent="0.25">
      <c r="A92">
        <v>53</v>
      </c>
    </row>
    <row r="93" spans="1:1" x14ac:dyDescent="0.25">
      <c r="A93">
        <v>60</v>
      </c>
    </row>
    <row r="94" spans="1:1" x14ac:dyDescent="0.25">
      <c r="A94">
        <v>31</v>
      </c>
    </row>
    <row r="95" spans="1:1" x14ac:dyDescent="0.25">
      <c r="A95">
        <v>63</v>
      </c>
    </row>
    <row r="96" spans="1:1" x14ac:dyDescent="0.25">
      <c r="A96">
        <v>69</v>
      </c>
    </row>
    <row r="97" spans="1:1" x14ac:dyDescent="0.25">
      <c r="A97">
        <v>69</v>
      </c>
    </row>
    <row r="98" spans="1:1" x14ac:dyDescent="0.25">
      <c r="A98">
        <v>79</v>
      </c>
    </row>
    <row r="99" spans="1:1" x14ac:dyDescent="0.25">
      <c r="A99">
        <v>65</v>
      </c>
    </row>
    <row r="100" spans="1:1" x14ac:dyDescent="0.25">
      <c r="A100">
        <v>52</v>
      </c>
    </row>
    <row r="101" spans="1:1" x14ac:dyDescent="0.25">
      <c r="A101">
        <v>76</v>
      </c>
    </row>
    <row r="102" spans="1:1" x14ac:dyDescent="0.25">
      <c r="A102">
        <v>63</v>
      </c>
    </row>
    <row r="103" spans="1:1" x14ac:dyDescent="0.25">
      <c r="A103">
        <v>66</v>
      </c>
    </row>
    <row r="104" spans="1:1" x14ac:dyDescent="0.25">
      <c r="A104">
        <v>38</v>
      </c>
    </row>
    <row r="105" spans="1:1" x14ac:dyDescent="0.25">
      <c r="A105">
        <v>54</v>
      </c>
    </row>
    <row r="106" spans="1:1" x14ac:dyDescent="0.25">
      <c r="A106">
        <v>75</v>
      </c>
    </row>
    <row r="107" spans="1:1" x14ac:dyDescent="0.25">
      <c r="A107">
        <v>23</v>
      </c>
    </row>
    <row r="108" spans="1:1" x14ac:dyDescent="0.25">
      <c r="A108">
        <v>19</v>
      </c>
    </row>
    <row r="109" spans="1:1" x14ac:dyDescent="0.25">
      <c r="A109">
        <v>65</v>
      </c>
    </row>
    <row r="110" spans="1:1" x14ac:dyDescent="0.25">
      <c r="A110">
        <v>44</v>
      </c>
    </row>
    <row r="111" spans="1:1" x14ac:dyDescent="0.25">
      <c r="A111">
        <v>37</v>
      </c>
    </row>
    <row r="112" spans="1:1" x14ac:dyDescent="0.25">
      <c r="A112">
        <v>25</v>
      </c>
    </row>
    <row r="113" spans="1:1" x14ac:dyDescent="0.25">
      <c r="A113">
        <v>30</v>
      </c>
    </row>
    <row r="114" spans="1:1" x14ac:dyDescent="0.25">
      <c r="A114">
        <v>38</v>
      </c>
    </row>
    <row r="115" spans="1:1" x14ac:dyDescent="0.25">
      <c r="A115">
        <v>27</v>
      </c>
    </row>
    <row r="116" spans="1:1" x14ac:dyDescent="0.25">
      <c r="A116">
        <v>33</v>
      </c>
    </row>
    <row r="117" spans="1:1" x14ac:dyDescent="0.25">
      <c r="A117">
        <v>49</v>
      </c>
    </row>
    <row r="118" spans="1:1" x14ac:dyDescent="0.25">
      <c r="A118">
        <v>42</v>
      </c>
    </row>
    <row r="119" spans="1:1" x14ac:dyDescent="0.25">
      <c r="A119">
        <v>71</v>
      </c>
    </row>
    <row r="120" spans="1:1" x14ac:dyDescent="0.25">
      <c r="A120">
        <v>66</v>
      </c>
    </row>
    <row r="121" spans="1:1" x14ac:dyDescent="0.25">
      <c r="A121">
        <v>42</v>
      </c>
    </row>
    <row r="122" spans="1:1" x14ac:dyDescent="0.25">
      <c r="A122">
        <v>68</v>
      </c>
    </row>
    <row r="123" spans="1:1" x14ac:dyDescent="0.25">
      <c r="A123">
        <v>64</v>
      </c>
    </row>
    <row r="124" spans="1:1" x14ac:dyDescent="0.25">
      <c r="A124">
        <v>24</v>
      </c>
    </row>
    <row r="125" spans="1:1" x14ac:dyDescent="0.25">
      <c r="A125">
        <v>68</v>
      </c>
    </row>
    <row r="126" spans="1:1" x14ac:dyDescent="0.25">
      <c r="A126">
        <v>96</v>
      </c>
    </row>
    <row r="127" spans="1:1" x14ac:dyDescent="0.25">
      <c r="A127">
        <v>85</v>
      </c>
    </row>
    <row r="128" spans="1:1" x14ac:dyDescent="0.25">
      <c r="A128">
        <v>64</v>
      </c>
    </row>
    <row r="129" spans="1:1" x14ac:dyDescent="0.25">
      <c r="A129">
        <v>60</v>
      </c>
    </row>
    <row r="130" spans="1:1" x14ac:dyDescent="0.25">
      <c r="A130">
        <v>39</v>
      </c>
    </row>
    <row r="131" spans="1:1" x14ac:dyDescent="0.25">
      <c r="A131">
        <v>32</v>
      </c>
    </row>
    <row r="132" spans="1:1" x14ac:dyDescent="0.25">
      <c r="A132">
        <v>51</v>
      </c>
    </row>
    <row r="133" spans="1:1" x14ac:dyDescent="0.25">
      <c r="A133">
        <v>53</v>
      </c>
    </row>
    <row r="134" spans="1:1" x14ac:dyDescent="0.25">
      <c r="A134">
        <v>16</v>
      </c>
    </row>
    <row r="135" spans="1:1" x14ac:dyDescent="0.25">
      <c r="A135">
        <v>27</v>
      </c>
    </row>
    <row r="136" spans="1:1" x14ac:dyDescent="0.25">
      <c r="A136">
        <v>60</v>
      </c>
    </row>
    <row r="137" spans="1:1" x14ac:dyDescent="0.25">
      <c r="A137">
        <v>61</v>
      </c>
    </row>
    <row r="138" spans="1:1" x14ac:dyDescent="0.25">
      <c r="A138">
        <v>65</v>
      </c>
    </row>
    <row r="139" spans="1:1" x14ac:dyDescent="0.25">
      <c r="A139">
        <v>78</v>
      </c>
    </row>
    <row r="140" spans="1:1" x14ac:dyDescent="0.25">
      <c r="A140">
        <v>45</v>
      </c>
    </row>
    <row r="141" spans="1:1" x14ac:dyDescent="0.25">
      <c r="A141">
        <v>74</v>
      </c>
    </row>
    <row r="142" spans="1:1" x14ac:dyDescent="0.25">
      <c r="A142">
        <v>31</v>
      </c>
    </row>
    <row r="143" spans="1:1" x14ac:dyDescent="0.25">
      <c r="A143">
        <v>55</v>
      </c>
    </row>
    <row r="144" spans="1:1" x14ac:dyDescent="0.25">
      <c r="A144">
        <v>25</v>
      </c>
    </row>
    <row r="145" spans="1:1" x14ac:dyDescent="0.25">
      <c r="A145">
        <v>49</v>
      </c>
    </row>
    <row r="146" spans="1:1" x14ac:dyDescent="0.25">
      <c r="A146">
        <v>54</v>
      </c>
    </row>
    <row r="147" spans="1:1" x14ac:dyDescent="0.25">
      <c r="A147">
        <v>69</v>
      </c>
    </row>
    <row r="148" spans="1:1" x14ac:dyDescent="0.25">
      <c r="A148">
        <v>41</v>
      </c>
    </row>
    <row r="149" spans="1:1" x14ac:dyDescent="0.25">
      <c r="A149">
        <v>67</v>
      </c>
    </row>
    <row r="150" spans="1:1" x14ac:dyDescent="0.25">
      <c r="A150">
        <v>28</v>
      </c>
    </row>
    <row r="151" spans="1:1" x14ac:dyDescent="0.25">
      <c r="A151">
        <v>90</v>
      </c>
    </row>
    <row r="152" spans="1:1" x14ac:dyDescent="0.25">
      <c r="A152">
        <v>52</v>
      </c>
    </row>
    <row r="153" spans="1:1" x14ac:dyDescent="0.25">
      <c r="A153">
        <v>49</v>
      </c>
    </row>
    <row r="154" spans="1:1" x14ac:dyDescent="0.25">
      <c r="A154">
        <v>71</v>
      </c>
    </row>
    <row r="155" spans="1:1" x14ac:dyDescent="0.25">
      <c r="A155">
        <v>57</v>
      </c>
    </row>
    <row r="156" spans="1:1" x14ac:dyDescent="0.25">
      <c r="A156">
        <v>82</v>
      </c>
    </row>
    <row r="157" spans="1:1" x14ac:dyDescent="0.25">
      <c r="A157">
        <v>60</v>
      </c>
    </row>
    <row r="158" spans="1:1" x14ac:dyDescent="0.25">
      <c r="A158">
        <v>38</v>
      </c>
    </row>
    <row r="159" spans="1:1" x14ac:dyDescent="0.25">
      <c r="A159">
        <v>76</v>
      </c>
    </row>
    <row r="160" spans="1:1" x14ac:dyDescent="0.25">
      <c r="A160">
        <v>16</v>
      </c>
    </row>
    <row r="161" spans="1:1" x14ac:dyDescent="0.25">
      <c r="A161">
        <v>65</v>
      </c>
    </row>
    <row r="162" spans="1:1" x14ac:dyDescent="0.25">
      <c r="A162">
        <v>20</v>
      </c>
    </row>
    <row r="163" spans="1:1" x14ac:dyDescent="0.25">
      <c r="A163">
        <v>60</v>
      </c>
    </row>
    <row r="164" spans="1:1" x14ac:dyDescent="0.25">
      <c r="A164">
        <v>58</v>
      </c>
    </row>
    <row r="165" spans="1:1" x14ac:dyDescent="0.25">
      <c r="A165">
        <v>73</v>
      </c>
    </row>
    <row r="166" spans="1:1" x14ac:dyDescent="0.25">
      <c r="A166">
        <v>52</v>
      </c>
    </row>
    <row r="167" spans="1:1" x14ac:dyDescent="0.25">
      <c r="A167">
        <v>35</v>
      </c>
    </row>
    <row r="168" spans="1:1" x14ac:dyDescent="0.25">
      <c r="A168">
        <v>54</v>
      </c>
    </row>
    <row r="169" spans="1:1" x14ac:dyDescent="0.25">
      <c r="A169">
        <v>50</v>
      </c>
    </row>
    <row r="170" spans="1:1" x14ac:dyDescent="0.25">
      <c r="A170">
        <v>60</v>
      </c>
    </row>
    <row r="171" spans="1:1" x14ac:dyDescent="0.25">
      <c r="A171">
        <v>51</v>
      </c>
    </row>
    <row r="172" spans="1:1" x14ac:dyDescent="0.25">
      <c r="A172">
        <v>56</v>
      </c>
    </row>
    <row r="173" spans="1:1" x14ac:dyDescent="0.25">
      <c r="A173">
        <v>45</v>
      </c>
    </row>
    <row r="174" spans="1:1" x14ac:dyDescent="0.25">
      <c r="A174">
        <v>60</v>
      </c>
    </row>
    <row r="175" spans="1:1" x14ac:dyDescent="0.25">
      <c r="A175">
        <v>46</v>
      </c>
    </row>
    <row r="176" spans="1:1" x14ac:dyDescent="0.25">
      <c r="A176">
        <v>56</v>
      </c>
    </row>
    <row r="177" spans="1:1" x14ac:dyDescent="0.25">
      <c r="A177">
        <v>31</v>
      </c>
    </row>
    <row r="178" spans="1:1" x14ac:dyDescent="0.25">
      <c r="A178">
        <v>72</v>
      </c>
    </row>
    <row r="179" spans="1:1" x14ac:dyDescent="0.25">
      <c r="A179">
        <v>46</v>
      </c>
    </row>
    <row r="180" spans="1:1" x14ac:dyDescent="0.25">
      <c r="A180">
        <v>67</v>
      </c>
    </row>
    <row r="181" spans="1:1" x14ac:dyDescent="0.25">
      <c r="A181">
        <v>27</v>
      </c>
    </row>
    <row r="182" spans="1:1" x14ac:dyDescent="0.25">
      <c r="A182">
        <v>93</v>
      </c>
    </row>
    <row r="183" spans="1:1" x14ac:dyDescent="0.25">
      <c r="A183">
        <v>73</v>
      </c>
    </row>
    <row r="184" spans="1:1" x14ac:dyDescent="0.25">
      <c r="A184">
        <v>58</v>
      </c>
    </row>
    <row r="185" spans="1:1" x14ac:dyDescent="0.25">
      <c r="A185">
        <v>27</v>
      </c>
    </row>
    <row r="186" spans="1:1" x14ac:dyDescent="0.25">
      <c r="A186">
        <v>40</v>
      </c>
    </row>
    <row r="187" spans="1:1" x14ac:dyDescent="0.25">
      <c r="A187">
        <v>49</v>
      </c>
    </row>
    <row r="188" spans="1:1" x14ac:dyDescent="0.25">
      <c r="A188">
        <v>54</v>
      </c>
    </row>
    <row r="189" spans="1:1" x14ac:dyDescent="0.25">
      <c r="A189">
        <v>30</v>
      </c>
    </row>
    <row r="190" spans="1:1" x14ac:dyDescent="0.25">
      <c r="A190">
        <v>80</v>
      </c>
    </row>
    <row r="191" spans="1:1" x14ac:dyDescent="0.25">
      <c r="A191">
        <v>62</v>
      </c>
    </row>
    <row r="192" spans="1:1" x14ac:dyDescent="0.25">
      <c r="A192">
        <v>53</v>
      </c>
    </row>
    <row r="193" spans="1:1" x14ac:dyDescent="0.25">
      <c r="A193">
        <v>50</v>
      </c>
    </row>
    <row r="194" spans="1:1" x14ac:dyDescent="0.25">
      <c r="A194">
        <v>36</v>
      </c>
    </row>
    <row r="195" spans="1:1" x14ac:dyDescent="0.25">
      <c r="A195">
        <v>90</v>
      </c>
    </row>
    <row r="196" spans="1:1" x14ac:dyDescent="0.25">
      <c r="A196">
        <v>82</v>
      </c>
    </row>
    <row r="197" spans="1:1" x14ac:dyDescent="0.25">
      <c r="A197">
        <v>60</v>
      </c>
    </row>
    <row r="198" spans="1:1" x14ac:dyDescent="0.25">
      <c r="A198">
        <v>51</v>
      </c>
    </row>
    <row r="199" spans="1:1" x14ac:dyDescent="0.25">
      <c r="A199">
        <v>32</v>
      </c>
    </row>
    <row r="200" spans="1:1" x14ac:dyDescent="0.25">
      <c r="A200">
        <v>22</v>
      </c>
    </row>
    <row r="201" spans="1:1" x14ac:dyDescent="0.25">
      <c r="A201">
        <v>17</v>
      </c>
    </row>
  </sheetData>
  <pageMargins left="0.7" right="0.7" top="0.75" bottom="0.75" header="0.3" footer="0.3"/>
  <pageSetup paperSize="9" orientation="portrait" verticalDpi="0" r:id="rId1"/>
  <ignoredErrors>
    <ignoredError sqref="G15 G17 I15:I22" formula="1"/>
    <ignoredError sqref="G16 G18 G21:G22"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A472-76E2-43D4-A16A-95200F0AD6BF}">
  <dimension ref="A1:K203"/>
  <sheetViews>
    <sheetView tabSelected="1" zoomScale="110" zoomScaleNormal="110" workbookViewId="0">
      <selection activeCell="M9" sqref="M9"/>
    </sheetView>
  </sheetViews>
  <sheetFormatPr defaultRowHeight="15" x14ac:dyDescent="0.25"/>
  <cols>
    <col min="4" max="4" width="12.7109375" bestFit="1" customWidth="1"/>
    <col min="5" max="5" width="11.85546875" bestFit="1" customWidth="1"/>
    <col min="6" max="6" width="7.7109375" bestFit="1" customWidth="1"/>
    <col min="7" max="7" width="10.140625" bestFit="1" customWidth="1"/>
    <col min="8" max="8" width="11.42578125" bestFit="1" customWidth="1"/>
    <col min="9" max="9" width="20.28515625" bestFit="1" customWidth="1"/>
    <col min="10" max="10" width="25.5703125" bestFit="1" customWidth="1"/>
    <col min="11" max="11" width="34.42578125" bestFit="1" customWidth="1"/>
  </cols>
  <sheetData>
    <row r="1" spans="1:11" x14ac:dyDescent="0.25">
      <c r="A1" t="s">
        <v>54</v>
      </c>
    </row>
    <row r="2" spans="1:11" x14ac:dyDescent="0.25">
      <c r="A2">
        <v>42.19</v>
      </c>
      <c r="D2" t="s">
        <v>75</v>
      </c>
      <c r="E2">
        <f>MIN(A2:A203)</f>
        <v>0</v>
      </c>
    </row>
    <row r="3" spans="1:11" x14ac:dyDescent="0.25">
      <c r="A3">
        <v>38.450000000000003</v>
      </c>
      <c r="D3" t="s">
        <v>76</v>
      </c>
      <c r="E3">
        <f>MAX(A2:A203)</f>
        <v>119.63</v>
      </c>
    </row>
    <row r="4" spans="1:11" x14ac:dyDescent="0.25">
      <c r="D4" t="s">
        <v>77</v>
      </c>
      <c r="E4" s="5">
        <f>1+(3.3*LOG10(200))</f>
        <v>8.5933989856911381</v>
      </c>
      <c r="F4" t="s">
        <v>84</v>
      </c>
    </row>
    <row r="5" spans="1:11" x14ac:dyDescent="0.25">
      <c r="D5" t="s">
        <v>83</v>
      </c>
      <c r="E5" s="5">
        <f>(E3-E2)/9</f>
        <v>13.292222222222222</v>
      </c>
      <c r="F5" t="s">
        <v>85</v>
      </c>
    </row>
    <row r="6" spans="1:11" x14ac:dyDescent="0.25">
      <c r="A6">
        <v>29.23</v>
      </c>
    </row>
    <row r="7" spans="1:11" x14ac:dyDescent="0.25">
      <c r="A7">
        <v>89.35</v>
      </c>
      <c r="D7" t="s">
        <v>73</v>
      </c>
      <c r="E7" t="s">
        <v>74</v>
      </c>
      <c r="F7" t="s">
        <v>86</v>
      </c>
      <c r="G7" t="s">
        <v>82</v>
      </c>
      <c r="H7" t="s">
        <v>78</v>
      </c>
      <c r="I7" t="s">
        <v>79</v>
      </c>
      <c r="J7" t="s">
        <v>80</v>
      </c>
      <c r="K7" t="s">
        <v>81</v>
      </c>
    </row>
    <row r="8" spans="1:11" x14ac:dyDescent="0.25">
      <c r="A8">
        <v>118.04</v>
      </c>
      <c r="D8">
        <v>0</v>
      </c>
      <c r="E8">
        <f>E2+14</f>
        <v>14</v>
      </c>
      <c r="F8" t="str">
        <f t="shared" ref="F8:F16" si="0">_xlfn.CONCAT(D8,"-",E8)</f>
        <v>0-14</v>
      </c>
      <c r="G8">
        <f>(D8+E8)/2</f>
        <v>7</v>
      </c>
      <c r="H8">
        <f>COUNTIFS(A2:A202,"&gt;="&amp;D8,A2:A202,"&lt;"&amp;E8)</f>
        <v>69</v>
      </c>
      <c r="I8">
        <f>H8/200*100</f>
        <v>34.5</v>
      </c>
      <c r="J8">
        <v>0</v>
      </c>
      <c r="K8">
        <f>J8/200*100</f>
        <v>0</v>
      </c>
    </row>
    <row r="9" spans="1:11" x14ac:dyDescent="0.25">
      <c r="A9">
        <v>110.46</v>
      </c>
      <c r="D9">
        <f>D8+14</f>
        <v>14</v>
      </c>
      <c r="E9">
        <f>E8+14</f>
        <v>28</v>
      </c>
      <c r="F9" t="str">
        <f t="shared" si="0"/>
        <v>14-28</v>
      </c>
      <c r="G9">
        <f t="shared" ref="G9:G16" si="1">(D9+E9)/2</f>
        <v>21</v>
      </c>
      <c r="H9">
        <f>COUNTIFS(A3:A203,"&gt;="&amp;D9,A3:A203,"&lt;"&amp;E9)</f>
        <v>34</v>
      </c>
      <c r="I9">
        <f t="shared" ref="I9:I16" si="2">H9/200*100</f>
        <v>17</v>
      </c>
      <c r="J9">
        <f>J8+H9</f>
        <v>34</v>
      </c>
      <c r="K9">
        <f t="shared" ref="K9:K16" si="3">J9/200*100</f>
        <v>17</v>
      </c>
    </row>
    <row r="10" spans="1:11" x14ac:dyDescent="0.25">
      <c r="A10">
        <v>0</v>
      </c>
      <c r="D10">
        <f t="shared" ref="D10:D16" si="4">D9+14</f>
        <v>28</v>
      </c>
      <c r="E10">
        <f t="shared" ref="E10:E16" si="5">E9+14</f>
        <v>42</v>
      </c>
      <c r="F10" t="str">
        <f t="shared" si="0"/>
        <v>28-42</v>
      </c>
      <c r="G10">
        <f t="shared" si="1"/>
        <v>35</v>
      </c>
      <c r="H10">
        <f>COUNTIFS(A4:A204,"&gt;="&amp;D10,A4:A204,"&lt;"&amp;E10)</f>
        <v>14</v>
      </c>
      <c r="I10">
        <f t="shared" si="2"/>
        <v>7.0000000000000009</v>
      </c>
      <c r="J10">
        <f t="shared" ref="J10:J16" si="6">J9+H10</f>
        <v>48</v>
      </c>
      <c r="K10">
        <f t="shared" si="3"/>
        <v>24</v>
      </c>
    </row>
    <row r="11" spans="1:11" x14ac:dyDescent="0.25">
      <c r="A11">
        <v>72.88</v>
      </c>
      <c r="D11">
        <f t="shared" si="4"/>
        <v>42</v>
      </c>
      <c r="E11">
        <f t="shared" si="5"/>
        <v>56</v>
      </c>
      <c r="F11" t="str">
        <f t="shared" si="0"/>
        <v>42-56</v>
      </c>
      <c r="G11">
        <f t="shared" si="1"/>
        <v>49</v>
      </c>
      <c r="H11">
        <f t="shared" ref="H11:H16" si="7">COUNTIFS(A6:A205,"&gt;="&amp;D11,A6:A205,"&lt;"&amp;E11)</f>
        <v>9</v>
      </c>
      <c r="I11">
        <f t="shared" si="2"/>
        <v>4.5</v>
      </c>
      <c r="J11">
        <f t="shared" si="6"/>
        <v>57</v>
      </c>
      <c r="K11">
        <f t="shared" si="3"/>
        <v>28.499999999999996</v>
      </c>
    </row>
    <row r="12" spans="1:11" x14ac:dyDescent="0.25">
      <c r="A12">
        <v>83.05</v>
      </c>
      <c r="D12">
        <f t="shared" si="4"/>
        <v>56</v>
      </c>
      <c r="E12">
        <f t="shared" si="5"/>
        <v>70</v>
      </c>
      <c r="F12" t="str">
        <f t="shared" si="0"/>
        <v>56-70</v>
      </c>
      <c r="G12">
        <f t="shared" si="1"/>
        <v>63</v>
      </c>
      <c r="H12">
        <f t="shared" si="7"/>
        <v>6</v>
      </c>
      <c r="I12">
        <f t="shared" si="2"/>
        <v>3</v>
      </c>
      <c r="J12">
        <f t="shared" si="6"/>
        <v>63</v>
      </c>
      <c r="K12">
        <f t="shared" si="3"/>
        <v>31.5</v>
      </c>
    </row>
    <row r="13" spans="1:11" x14ac:dyDescent="0.25">
      <c r="A13">
        <v>95.73</v>
      </c>
      <c r="D13">
        <f t="shared" si="4"/>
        <v>70</v>
      </c>
      <c r="E13">
        <f t="shared" si="5"/>
        <v>84</v>
      </c>
      <c r="F13" t="str">
        <f t="shared" si="0"/>
        <v>70-84</v>
      </c>
      <c r="G13">
        <f t="shared" si="1"/>
        <v>77</v>
      </c>
      <c r="H13">
        <f t="shared" si="7"/>
        <v>14</v>
      </c>
      <c r="I13">
        <f t="shared" si="2"/>
        <v>7.0000000000000009</v>
      </c>
      <c r="J13">
        <f t="shared" si="6"/>
        <v>77</v>
      </c>
      <c r="K13">
        <f t="shared" si="3"/>
        <v>38.5</v>
      </c>
    </row>
    <row r="14" spans="1:11" x14ac:dyDescent="0.25">
      <c r="A14">
        <v>103.15</v>
      </c>
      <c r="D14">
        <f t="shared" si="4"/>
        <v>84</v>
      </c>
      <c r="E14">
        <f t="shared" si="5"/>
        <v>98</v>
      </c>
      <c r="F14" t="str">
        <f t="shared" si="0"/>
        <v>84-98</v>
      </c>
      <c r="G14">
        <f t="shared" si="1"/>
        <v>91</v>
      </c>
      <c r="H14">
        <f t="shared" si="7"/>
        <v>26</v>
      </c>
      <c r="I14">
        <f t="shared" si="2"/>
        <v>13</v>
      </c>
      <c r="J14">
        <f t="shared" si="6"/>
        <v>103</v>
      </c>
      <c r="K14">
        <f t="shared" si="3"/>
        <v>51.5</v>
      </c>
    </row>
    <row r="15" spans="1:11" x14ac:dyDescent="0.25">
      <c r="A15">
        <v>94.52</v>
      </c>
      <c r="D15">
        <f t="shared" si="4"/>
        <v>98</v>
      </c>
      <c r="E15">
        <f t="shared" si="5"/>
        <v>112</v>
      </c>
      <c r="F15" t="str">
        <f t="shared" si="0"/>
        <v>98-112</v>
      </c>
      <c r="G15">
        <f t="shared" si="1"/>
        <v>105</v>
      </c>
      <c r="H15">
        <f t="shared" si="7"/>
        <v>16</v>
      </c>
      <c r="I15">
        <f t="shared" si="2"/>
        <v>8</v>
      </c>
      <c r="J15">
        <f t="shared" si="6"/>
        <v>119</v>
      </c>
      <c r="K15">
        <f t="shared" si="3"/>
        <v>59.5</v>
      </c>
    </row>
    <row r="16" spans="1:11" x14ac:dyDescent="0.25">
      <c r="A16">
        <v>26.84</v>
      </c>
      <c r="D16">
        <f t="shared" si="4"/>
        <v>112</v>
      </c>
      <c r="E16">
        <f t="shared" si="5"/>
        <v>126</v>
      </c>
      <c r="F16" t="str">
        <f t="shared" si="0"/>
        <v>112-126</v>
      </c>
      <c r="G16">
        <f t="shared" si="1"/>
        <v>119</v>
      </c>
      <c r="H16">
        <f t="shared" si="7"/>
        <v>7</v>
      </c>
      <c r="I16">
        <f t="shared" si="2"/>
        <v>3.5000000000000004</v>
      </c>
      <c r="J16">
        <f t="shared" si="6"/>
        <v>126</v>
      </c>
      <c r="K16">
        <f t="shared" si="3"/>
        <v>63</v>
      </c>
    </row>
    <row r="17" spans="1:10" x14ac:dyDescent="0.25">
      <c r="A17">
        <v>93.93</v>
      </c>
    </row>
    <row r="18" spans="1:10" x14ac:dyDescent="0.25">
      <c r="A18">
        <v>90.26</v>
      </c>
      <c r="J18" s="6"/>
    </row>
    <row r="19" spans="1:10" x14ac:dyDescent="0.25">
      <c r="A19">
        <v>72.78</v>
      </c>
    </row>
    <row r="20" spans="1:10" x14ac:dyDescent="0.25">
      <c r="A20">
        <v>101.36</v>
      </c>
    </row>
    <row r="21" spans="1:10" x14ac:dyDescent="0.25">
      <c r="A21">
        <v>104.8</v>
      </c>
    </row>
    <row r="22" spans="1:10" x14ac:dyDescent="0.25">
      <c r="A22">
        <v>74.010000000000005</v>
      </c>
    </row>
    <row r="23" spans="1:10" x14ac:dyDescent="0.25">
      <c r="A23">
        <v>56.01</v>
      </c>
    </row>
    <row r="24" spans="1:10" x14ac:dyDescent="0.25">
      <c r="A24">
        <v>39.21</v>
      </c>
    </row>
    <row r="25" spans="1:10" x14ac:dyDescent="0.25">
      <c r="A25">
        <v>48.54</v>
      </c>
    </row>
    <row r="26" spans="1:10" x14ac:dyDescent="0.25">
      <c r="A26">
        <v>93.31</v>
      </c>
    </row>
    <row r="27" spans="1:10" x14ac:dyDescent="0.25">
      <c r="A27">
        <v>104.88</v>
      </c>
    </row>
    <row r="28" spans="1:10" x14ac:dyDescent="0.25">
      <c r="A28">
        <v>30.61</v>
      </c>
    </row>
    <row r="29" spans="1:10" x14ac:dyDescent="0.25">
      <c r="A29">
        <v>22.57</v>
      </c>
    </row>
    <row r="30" spans="1:10" x14ac:dyDescent="0.25">
      <c r="A30">
        <v>63.7</v>
      </c>
    </row>
    <row r="31" spans="1:10" x14ac:dyDescent="0.25">
      <c r="A31">
        <v>104.84</v>
      </c>
    </row>
    <row r="32" spans="1:10" x14ac:dyDescent="0.25">
      <c r="A32">
        <v>6.45</v>
      </c>
    </row>
    <row r="33" spans="1:1" x14ac:dyDescent="0.25">
      <c r="A33">
        <v>16.47</v>
      </c>
    </row>
    <row r="34" spans="1:1" x14ac:dyDescent="0.25">
      <c r="A34">
        <v>89.5</v>
      </c>
    </row>
    <row r="35" spans="1:1" x14ac:dyDescent="0.25">
      <c r="A35">
        <v>13.36</v>
      </c>
    </row>
    <row r="36" spans="1:1" x14ac:dyDescent="0.25">
      <c r="A36">
        <v>44.16</v>
      </c>
    </row>
    <row r="37" spans="1:1" x14ac:dyDescent="0.25">
      <c r="A37">
        <v>92.97</v>
      </c>
    </row>
    <row r="38" spans="1:1" x14ac:dyDescent="0.25">
      <c r="A38">
        <v>99.56</v>
      </c>
    </row>
    <row r="39" spans="1:1" x14ac:dyDescent="0.25">
      <c r="A39">
        <v>92.62</v>
      </c>
    </row>
    <row r="40" spans="1:1" x14ac:dyDescent="0.25">
      <c r="A40">
        <v>78.89</v>
      </c>
    </row>
    <row r="41" spans="1:1" x14ac:dyDescent="0.25">
      <c r="A41">
        <v>87.71</v>
      </c>
    </row>
    <row r="42" spans="1:1" x14ac:dyDescent="0.25">
      <c r="A42">
        <v>93.57</v>
      </c>
    </row>
    <row r="43" spans="1:1" x14ac:dyDescent="0.25">
      <c r="A43">
        <v>0</v>
      </c>
    </row>
    <row r="44" spans="1:1" x14ac:dyDescent="0.25">
      <c r="A44">
        <v>75.709999999999994</v>
      </c>
    </row>
    <row r="45" spans="1:1" x14ac:dyDescent="0.25">
      <c r="A45">
        <v>88.62</v>
      </c>
    </row>
    <row r="46" spans="1:1" x14ac:dyDescent="0.25">
      <c r="A46">
        <v>99.5</v>
      </c>
    </row>
    <row r="47" spans="1:1" x14ac:dyDescent="0.25">
      <c r="A47">
        <v>85</v>
      </c>
    </row>
    <row r="48" spans="1:1" x14ac:dyDescent="0.25">
      <c r="A48">
        <v>0</v>
      </c>
    </row>
    <row r="49" spans="1:1" x14ac:dyDescent="0.25">
      <c r="A49">
        <v>8.41</v>
      </c>
    </row>
    <row r="50" spans="1:1" x14ac:dyDescent="0.25">
      <c r="A50">
        <v>70.48</v>
      </c>
    </row>
    <row r="51" spans="1:1" x14ac:dyDescent="0.25">
      <c r="A51">
        <v>92.88</v>
      </c>
    </row>
    <row r="52" spans="1:1" x14ac:dyDescent="0.25">
      <c r="A52">
        <v>3.2</v>
      </c>
    </row>
    <row r="53" spans="1:1" x14ac:dyDescent="0.25">
      <c r="A53">
        <v>115.5</v>
      </c>
    </row>
    <row r="54" spans="1:1" x14ac:dyDescent="0.25">
      <c r="A54">
        <v>2.42</v>
      </c>
    </row>
    <row r="55" spans="1:1" x14ac:dyDescent="0.25">
      <c r="A55">
        <v>1.08</v>
      </c>
    </row>
    <row r="56" spans="1:1" x14ac:dyDescent="0.25">
      <c r="A56">
        <v>76.69</v>
      </c>
    </row>
    <row r="57" spans="1:1" x14ac:dyDescent="0.25">
      <c r="A57">
        <v>13.62</v>
      </c>
    </row>
    <row r="58" spans="1:1" x14ac:dyDescent="0.25">
      <c r="A58">
        <v>88.51</v>
      </c>
    </row>
    <row r="59" spans="1:1" x14ac:dyDescent="0.25">
      <c r="A59">
        <v>55.99</v>
      </c>
    </row>
    <row r="60" spans="1:1" x14ac:dyDescent="0.25">
      <c r="A60">
        <v>12.24</v>
      </c>
    </row>
    <row r="61" spans="1:1" x14ac:dyDescent="0.25">
      <c r="A61">
        <v>119.63</v>
      </c>
    </row>
    <row r="62" spans="1:1" x14ac:dyDescent="0.25">
      <c r="A62">
        <v>23.31</v>
      </c>
    </row>
    <row r="63" spans="1:1" x14ac:dyDescent="0.25">
      <c r="A63">
        <v>11.05</v>
      </c>
    </row>
    <row r="64" spans="1:1" x14ac:dyDescent="0.25">
      <c r="A64">
        <v>8.3699999999999992</v>
      </c>
    </row>
    <row r="65" spans="1:1" x14ac:dyDescent="0.25">
      <c r="A65">
        <v>7.18</v>
      </c>
    </row>
    <row r="66" spans="1:1" x14ac:dyDescent="0.25">
      <c r="A66">
        <v>11.07</v>
      </c>
    </row>
    <row r="67" spans="1:1" x14ac:dyDescent="0.25">
      <c r="A67">
        <v>1.47</v>
      </c>
    </row>
    <row r="68" spans="1:1" x14ac:dyDescent="0.25">
      <c r="A68">
        <v>26.4</v>
      </c>
    </row>
    <row r="69" spans="1:1" x14ac:dyDescent="0.25">
      <c r="A69">
        <v>13.26</v>
      </c>
    </row>
    <row r="70" spans="1:1" x14ac:dyDescent="0.25">
      <c r="A70">
        <v>21.13</v>
      </c>
    </row>
    <row r="71" spans="1:1" x14ac:dyDescent="0.25">
      <c r="A71">
        <v>95.03</v>
      </c>
    </row>
    <row r="72" spans="1:1" x14ac:dyDescent="0.25">
      <c r="A72">
        <v>29.04</v>
      </c>
    </row>
    <row r="73" spans="1:1" x14ac:dyDescent="0.25">
      <c r="A73">
        <v>5.42</v>
      </c>
    </row>
    <row r="74" spans="1:1" x14ac:dyDescent="0.25">
      <c r="A74">
        <v>77.209999999999994</v>
      </c>
    </row>
    <row r="75" spans="1:1" x14ac:dyDescent="0.25">
      <c r="A75">
        <v>72.47</v>
      </c>
    </row>
    <row r="76" spans="1:1" x14ac:dyDescent="0.25">
      <c r="A76">
        <v>0</v>
      </c>
    </row>
    <row r="77" spans="1:1" x14ac:dyDescent="0.25">
      <c r="A77">
        <v>5.64</v>
      </c>
    </row>
    <row r="78" spans="1:1" x14ac:dyDescent="0.25">
      <c r="A78">
        <v>6.48</v>
      </c>
    </row>
    <row r="79" spans="1:1" x14ac:dyDescent="0.25">
      <c r="A79">
        <v>6.95</v>
      </c>
    </row>
    <row r="80" spans="1:1" x14ac:dyDescent="0.25">
      <c r="A80">
        <v>19.600000000000001</v>
      </c>
    </row>
    <row r="81" spans="1:1" x14ac:dyDescent="0.25">
      <c r="A81">
        <v>8.11</v>
      </c>
    </row>
    <row r="82" spans="1:1" x14ac:dyDescent="0.25">
      <c r="A82">
        <v>9.01</v>
      </c>
    </row>
    <row r="83" spans="1:1" x14ac:dyDescent="0.25">
      <c r="A83">
        <v>84.77</v>
      </c>
    </row>
    <row r="84" spans="1:1" x14ac:dyDescent="0.25">
      <c r="A84">
        <v>1.62</v>
      </c>
    </row>
    <row r="85" spans="1:1" x14ac:dyDescent="0.25">
      <c r="A85">
        <v>91.1</v>
      </c>
    </row>
    <row r="86" spans="1:1" x14ac:dyDescent="0.25">
      <c r="A86">
        <v>10.88</v>
      </c>
    </row>
    <row r="87" spans="1:1" x14ac:dyDescent="0.25">
      <c r="A87">
        <v>30.62</v>
      </c>
    </row>
    <row r="88" spans="1:1" x14ac:dyDescent="0.25">
      <c r="A88">
        <v>100.05</v>
      </c>
    </row>
    <row r="89" spans="1:1" x14ac:dyDescent="0.25">
      <c r="A89">
        <v>26.97</v>
      </c>
    </row>
    <row r="90" spans="1:1" x14ac:dyDescent="0.25">
      <c r="A90">
        <v>15.43</v>
      </c>
    </row>
    <row r="91" spans="1:1" x14ac:dyDescent="0.25">
      <c r="A91">
        <v>29.25</v>
      </c>
    </row>
    <row r="92" spans="1:1" x14ac:dyDescent="0.25">
      <c r="A92">
        <v>1.88</v>
      </c>
    </row>
    <row r="93" spans="1:1" x14ac:dyDescent="0.25">
      <c r="A93">
        <v>16.440000000000001</v>
      </c>
    </row>
    <row r="94" spans="1:1" x14ac:dyDescent="0.25">
      <c r="A94">
        <v>109.08</v>
      </c>
    </row>
    <row r="95" spans="1:1" x14ac:dyDescent="0.25">
      <c r="A95">
        <v>2.4500000000000002</v>
      </c>
    </row>
    <row r="96" spans="1:1" x14ac:dyDescent="0.25">
      <c r="A96">
        <v>21.97</v>
      </c>
    </row>
    <row r="97" spans="1:1" x14ac:dyDescent="0.25">
      <c r="A97">
        <v>17.12</v>
      </c>
    </row>
    <row r="98" spans="1:1" x14ac:dyDescent="0.25">
      <c r="A98">
        <v>19.7</v>
      </c>
    </row>
    <row r="99" spans="1:1" x14ac:dyDescent="0.25">
      <c r="A99">
        <v>6.93</v>
      </c>
    </row>
    <row r="100" spans="1:1" x14ac:dyDescent="0.25">
      <c r="A100">
        <v>10.050000000000001</v>
      </c>
    </row>
    <row r="101" spans="1:1" x14ac:dyDescent="0.25">
      <c r="A101">
        <v>99.03</v>
      </c>
    </row>
    <row r="102" spans="1:1" x14ac:dyDescent="0.25">
      <c r="A102">
        <v>29.24</v>
      </c>
    </row>
    <row r="103" spans="1:1" x14ac:dyDescent="0.25">
      <c r="A103">
        <v>15.21</v>
      </c>
    </row>
    <row r="104" spans="1:1" x14ac:dyDescent="0.25">
      <c r="A104">
        <v>28.77</v>
      </c>
    </row>
    <row r="105" spans="1:1" x14ac:dyDescent="0.25">
      <c r="A105">
        <v>9.1199999999999992</v>
      </c>
    </row>
    <row r="106" spans="1:1" x14ac:dyDescent="0.25">
      <c r="A106">
        <v>118.75</v>
      </c>
    </row>
    <row r="107" spans="1:1" x14ac:dyDescent="0.25">
      <c r="A107">
        <v>0</v>
      </c>
    </row>
    <row r="108" spans="1:1" x14ac:dyDescent="0.25">
      <c r="A108">
        <v>13.95</v>
      </c>
    </row>
    <row r="109" spans="1:1" x14ac:dyDescent="0.25">
      <c r="A109">
        <v>14.34</v>
      </c>
    </row>
    <row r="110" spans="1:1" x14ac:dyDescent="0.25">
      <c r="A110">
        <v>79.52</v>
      </c>
    </row>
    <row r="111" spans="1:1" x14ac:dyDescent="0.25">
      <c r="A111">
        <v>2.72</v>
      </c>
    </row>
    <row r="112" spans="1:1" x14ac:dyDescent="0.25">
      <c r="A112">
        <v>9.6300000000000008</v>
      </c>
    </row>
    <row r="113" spans="1:1" x14ac:dyDescent="0.25">
      <c r="A113">
        <v>21.34</v>
      </c>
    </row>
    <row r="114" spans="1:1" x14ac:dyDescent="0.25">
      <c r="A114">
        <v>104.4</v>
      </c>
    </row>
    <row r="115" spans="1:1" x14ac:dyDescent="0.25">
      <c r="A115">
        <v>2.88</v>
      </c>
    </row>
    <row r="116" spans="1:1" x14ac:dyDescent="0.25">
      <c r="A116">
        <v>65.900000000000006</v>
      </c>
    </row>
    <row r="117" spans="1:1" x14ac:dyDescent="0.25">
      <c r="A117">
        <v>20.55</v>
      </c>
    </row>
    <row r="118" spans="1:1" x14ac:dyDescent="0.25">
      <c r="A118">
        <v>3.43</v>
      </c>
    </row>
    <row r="119" spans="1:1" x14ac:dyDescent="0.25">
      <c r="A119">
        <v>10.44</v>
      </c>
    </row>
    <row r="120" spans="1:1" x14ac:dyDescent="0.25">
      <c r="A120">
        <v>21.36</v>
      </c>
    </row>
    <row r="121" spans="1:1" x14ac:dyDescent="0.25">
      <c r="A121">
        <v>24.42</v>
      </c>
    </row>
    <row r="122" spans="1:1" x14ac:dyDescent="0.25">
      <c r="A122">
        <v>95.52</v>
      </c>
    </row>
    <row r="123" spans="1:1" x14ac:dyDescent="0.25">
      <c r="A123">
        <v>6.72</v>
      </c>
    </row>
    <row r="124" spans="1:1" x14ac:dyDescent="0.25">
      <c r="A124">
        <v>35.32</v>
      </c>
    </row>
    <row r="125" spans="1:1" x14ac:dyDescent="0.25">
      <c r="A125">
        <v>117.69</v>
      </c>
    </row>
    <row r="126" spans="1:1" x14ac:dyDescent="0.25">
      <c r="A126">
        <v>106.84</v>
      </c>
    </row>
    <row r="127" spans="1:1" x14ac:dyDescent="0.25">
      <c r="A127">
        <v>8.4</v>
      </c>
    </row>
    <row r="128" spans="1:1" x14ac:dyDescent="0.25">
      <c r="A128">
        <v>90.04</v>
      </c>
    </row>
    <row r="129" spans="1:1" x14ac:dyDescent="0.25">
      <c r="A129">
        <v>3.85</v>
      </c>
    </row>
    <row r="130" spans="1:1" x14ac:dyDescent="0.25">
      <c r="A130">
        <v>91.56</v>
      </c>
    </row>
    <row r="131" spans="1:1" x14ac:dyDescent="0.25">
      <c r="A131">
        <v>10.130000000000001</v>
      </c>
    </row>
    <row r="132" spans="1:1" x14ac:dyDescent="0.25">
      <c r="A132">
        <v>5.72</v>
      </c>
    </row>
    <row r="133" spans="1:1" x14ac:dyDescent="0.25">
      <c r="A133">
        <v>33.69</v>
      </c>
    </row>
    <row r="134" spans="1:1" x14ac:dyDescent="0.25">
      <c r="A134">
        <v>115.78</v>
      </c>
    </row>
    <row r="135" spans="1:1" x14ac:dyDescent="0.25">
      <c r="A135">
        <v>0.98</v>
      </c>
    </row>
    <row r="136" spans="1:1" x14ac:dyDescent="0.25">
      <c r="A136">
        <v>19.45</v>
      </c>
    </row>
    <row r="137" spans="1:1" x14ac:dyDescent="0.25">
      <c r="A137">
        <v>0</v>
      </c>
    </row>
    <row r="138" spans="1:1" x14ac:dyDescent="0.25">
      <c r="A138">
        <v>27.21</v>
      </c>
    </row>
    <row r="139" spans="1:1" x14ac:dyDescent="0.25">
      <c r="A139">
        <v>89.27</v>
      </c>
    </row>
    <row r="140" spans="1:1" x14ac:dyDescent="0.25">
      <c r="A140">
        <v>14.49</v>
      </c>
    </row>
    <row r="141" spans="1:1" x14ac:dyDescent="0.25">
      <c r="A141">
        <v>92.17</v>
      </c>
    </row>
    <row r="142" spans="1:1" x14ac:dyDescent="0.25">
      <c r="A142">
        <v>21</v>
      </c>
    </row>
    <row r="143" spans="1:1" x14ac:dyDescent="0.25">
      <c r="A143">
        <v>106.59</v>
      </c>
    </row>
    <row r="144" spans="1:1" x14ac:dyDescent="0.25">
      <c r="A144">
        <v>13.9</v>
      </c>
    </row>
    <row r="145" spans="1:1" x14ac:dyDescent="0.25">
      <c r="A145">
        <v>9.2200000000000006</v>
      </c>
    </row>
    <row r="146" spans="1:1" x14ac:dyDescent="0.25">
      <c r="A146">
        <v>109.94</v>
      </c>
    </row>
    <row r="147" spans="1:1" x14ac:dyDescent="0.25">
      <c r="A147">
        <v>10.7</v>
      </c>
    </row>
    <row r="148" spans="1:1" x14ac:dyDescent="0.25">
      <c r="A148">
        <v>0</v>
      </c>
    </row>
    <row r="149" spans="1:1" x14ac:dyDescent="0.25">
      <c r="A149">
        <v>11.27</v>
      </c>
    </row>
    <row r="150" spans="1:1" x14ac:dyDescent="0.25">
      <c r="A150">
        <v>72.02</v>
      </c>
    </row>
    <row r="151" spans="1:1" x14ac:dyDescent="0.25">
      <c r="A151">
        <v>7.74</v>
      </c>
    </row>
    <row r="152" spans="1:1" x14ac:dyDescent="0.25">
      <c r="A152">
        <v>5.04</v>
      </c>
    </row>
    <row r="153" spans="1:1" x14ac:dyDescent="0.25">
      <c r="A153">
        <v>33.4</v>
      </c>
    </row>
    <row r="154" spans="1:1" x14ac:dyDescent="0.25">
      <c r="A154">
        <v>6.95</v>
      </c>
    </row>
    <row r="155" spans="1:1" x14ac:dyDescent="0.25">
      <c r="A155">
        <v>6.48</v>
      </c>
    </row>
    <row r="156" spans="1:1" x14ac:dyDescent="0.25">
      <c r="A156">
        <v>11.64</v>
      </c>
    </row>
    <row r="157" spans="1:1" x14ac:dyDescent="0.25">
      <c r="A157">
        <v>83.26</v>
      </c>
    </row>
    <row r="158" spans="1:1" x14ac:dyDescent="0.25">
      <c r="A158">
        <v>15.42</v>
      </c>
    </row>
    <row r="159" spans="1:1" x14ac:dyDescent="0.25">
      <c r="A159">
        <v>24.49</v>
      </c>
    </row>
    <row r="160" spans="1:1" x14ac:dyDescent="0.25">
      <c r="A160">
        <v>89.13</v>
      </c>
    </row>
    <row r="161" spans="1:1" x14ac:dyDescent="0.25">
      <c r="A161">
        <v>111.14</v>
      </c>
    </row>
    <row r="162" spans="1:1" x14ac:dyDescent="0.25">
      <c r="A162">
        <v>92.64</v>
      </c>
    </row>
    <row r="163" spans="1:1" x14ac:dyDescent="0.25">
      <c r="A163">
        <v>53.9</v>
      </c>
    </row>
    <row r="164" spans="1:1" x14ac:dyDescent="0.25">
      <c r="A164">
        <v>114.67</v>
      </c>
    </row>
    <row r="165" spans="1:1" x14ac:dyDescent="0.25">
      <c r="A165">
        <v>27.57</v>
      </c>
    </row>
    <row r="166" spans="1:1" x14ac:dyDescent="0.25">
      <c r="A166">
        <v>64.78</v>
      </c>
    </row>
    <row r="167" spans="1:1" x14ac:dyDescent="0.25">
      <c r="A167">
        <v>45.81</v>
      </c>
    </row>
    <row r="168" spans="1:1" x14ac:dyDescent="0.25">
      <c r="A168">
        <v>56.04</v>
      </c>
    </row>
    <row r="169" spans="1:1" x14ac:dyDescent="0.25">
      <c r="A169">
        <v>20.39</v>
      </c>
    </row>
    <row r="170" spans="1:1" x14ac:dyDescent="0.25">
      <c r="A170">
        <v>31.77</v>
      </c>
    </row>
    <row r="171" spans="1:1" x14ac:dyDescent="0.25">
      <c r="A171">
        <v>94.67</v>
      </c>
    </row>
    <row r="172" spans="1:1" x14ac:dyDescent="0.25">
      <c r="A172">
        <v>44.32</v>
      </c>
    </row>
    <row r="173" spans="1:1" x14ac:dyDescent="0.25">
      <c r="A173">
        <v>3.69</v>
      </c>
    </row>
    <row r="174" spans="1:1" x14ac:dyDescent="0.25">
      <c r="A174">
        <v>19.34</v>
      </c>
    </row>
    <row r="175" spans="1:1" x14ac:dyDescent="0.25">
      <c r="A175">
        <v>13.54</v>
      </c>
    </row>
    <row r="176" spans="1:1" x14ac:dyDescent="0.25">
      <c r="A176">
        <v>18.89</v>
      </c>
    </row>
    <row r="177" spans="1:1" x14ac:dyDescent="0.25">
      <c r="A177">
        <v>1.57</v>
      </c>
    </row>
    <row r="178" spans="1:1" x14ac:dyDescent="0.25">
      <c r="A178">
        <v>0</v>
      </c>
    </row>
    <row r="179" spans="1:1" x14ac:dyDescent="0.25">
      <c r="A179">
        <v>5.2</v>
      </c>
    </row>
    <row r="180" spans="1:1" x14ac:dyDescent="0.25">
      <c r="A180">
        <v>2.8</v>
      </c>
    </row>
    <row r="181" spans="1:1" x14ac:dyDescent="0.25">
      <c r="A181">
        <v>5.0999999999999996</v>
      </c>
    </row>
    <row r="182" spans="1:1" x14ac:dyDescent="0.25">
      <c r="A182">
        <v>3.03</v>
      </c>
    </row>
    <row r="183" spans="1:1" x14ac:dyDescent="0.25">
      <c r="A183">
        <v>9.16</v>
      </c>
    </row>
    <row r="184" spans="1:1" x14ac:dyDescent="0.25">
      <c r="A184">
        <v>15.3</v>
      </c>
    </row>
    <row r="185" spans="1:1" x14ac:dyDescent="0.25">
      <c r="A185">
        <v>75.489999999999995</v>
      </c>
    </row>
    <row r="186" spans="1:1" x14ac:dyDescent="0.25">
      <c r="A186">
        <v>68.69</v>
      </c>
    </row>
    <row r="187" spans="1:1" x14ac:dyDescent="0.25">
      <c r="A187">
        <v>35</v>
      </c>
    </row>
    <row r="188" spans="1:1" x14ac:dyDescent="0.25">
      <c r="A188">
        <v>9.1199999999999992</v>
      </c>
    </row>
    <row r="189" spans="1:1" x14ac:dyDescent="0.25">
      <c r="A189">
        <v>18.489999999999998</v>
      </c>
    </row>
    <row r="190" spans="1:1" x14ac:dyDescent="0.25">
      <c r="A190">
        <v>84.12</v>
      </c>
    </row>
    <row r="191" spans="1:1" x14ac:dyDescent="0.25">
      <c r="A191">
        <v>13.68</v>
      </c>
    </row>
    <row r="192" spans="1:1" x14ac:dyDescent="0.25">
      <c r="A192">
        <v>20.84</v>
      </c>
    </row>
    <row r="193" spans="1:1" x14ac:dyDescent="0.25">
      <c r="A193">
        <v>100.04</v>
      </c>
    </row>
    <row r="194" spans="1:1" x14ac:dyDescent="0.25">
      <c r="A194">
        <v>112.94</v>
      </c>
    </row>
    <row r="195" spans="1:1" x14ac:dyDescent="0.25">
      <c r="A195">
        <v>20.12</v>
      </c>
    </row>
    <row r="196" spans="1:1" x14ac:dyDescent="0.25">
      <c r="A196">
        <v>53.21</v>
      </c>
    </row>
    <row r="197" spans="1:1" x14ac:dyDescent="0.25">
      <c r="A197">
        <v>15.3</v>
      </c>
    </row>
    <row r="198" spans="1:1" x14ac:dyDescent="0.25">
      <c r="A198">
        <v>49.24</v>
      </c>
    </row>
    <row r="199" spans="1:1" x14ac:dyDescent="0.25">
      <c r="A199">
        <v>9.44</v>
      </c>
    </row>
    <row r="200" spans="1:1" x14ac:dyDescent="0.25">
      <c r="A200">
        <v>2.67</v>
      </c>
    </row>
    <row r="201" spans="1:1" x14ac:dyDescent="0.25">
      <c r="A201">
        <v>4.6900000000000004</v>
      </c>
    </row>
    <row r="202" spans="1:1" x14ac:dyDescent="0.25">
      <c r="A202">
        <v>41.38</v>
      </c>
    </row>
    <row r="203" spans="1:1" x14ac:dyDescent="0.25">
      <c r="A203">
        <v>45.77</v>
      </c>
    </row>
  </sheetData>
  <pageMargins left="0.7" right="0.7" top="0.75" bottom="0.75" header="0.3" footer="0.3"/>
  <pageSetup orientation="portrait" r:id="rId1"/>
  <cellWatches>
    <cellWatch r="K16"/>
  </cellWatches>
  <ignoredErrors>
    <ignoredError sqref="H8:H16" formulaRange="1"/>
    <ignoredError sqref="J9:J16"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0D0E-DE65-4BC0-BCB5-D4E86F9FF5BD}">
  <dimension ref="A1:B51"/>
  <sheetViews>
    <sheetView workbookViewId="0">
      <selection activeCell="E8" sqref="E8"/>
    </sheetView>
  </sheetViews>
  <sheetFormatPr defaultRowHeight="15" x14ac:dyDescent="0.25"/>
  <sheetData>
    <row r="1" spans="1:2" x14ac:dyDescent="0.25">
      <c r="A1" t="s">
        <v>55</v>
      </c>
      <c r="B1" t="s">
        <v>56</v>
      </c>
    </row>
    <row r="2" spans="1:2" x14ac:dyDescent="0.25">
      <c r="A2">
        <v>30</v>
      </c>
      <c r="B2">
        <v>30.33</v>
      </c>
    </row>
    <row r="3" spans="1:2" x14ac:dyDescent="0.25">
      <c r="A3">
        <v>-2.13</v>
      </c>
      <c r="B3">
        <v>-30.37</v>
      </c>
    </row>
    <row r="4" spans="1:2" x14ac:dyDescent="0.25">
      <c r="A4">
        <v>4.3</v>
      </c>
      <c r="B4">
        <v>-5.61</v>
      </c>
    </row>
    <row r="5" spans="1:2" x14ac:dyDescent="0.25">
      <c r="A5">
        <v>25</v>
      </c>
      <c r="B5">
        <v>29</v>
      </c>
    </row>
    <row r="6" spans="1:2" x14ac:dyDescent="0.25">
      <c r="A6">
        <v>12.89</v>
      </c>
      <c r="B6">
        <v>-26.01</v>
      </c>
    </row>
    <row r="7" spans="1:2" x14ac:dyDescent="0.25">
      <c r="A7">
        <v>-20.239999999999998</v>
      </c>
      <c r="B7">
        <v>0.46</v>
      </c>
    </row>
    <row r="8" spans="1:2" x14ac:dyDescent="0.25">
      <c r="A8">
        <v>1.2</v>
      </c>
      <c r="B8">
        <v>2.0699999999999998</v>
      </c>
    </row>
    <row r="9" spans="1:2" x14ac:dyDescent="0.25">
      <c r="A9">
        <v>-2.59</v>
      </c>
      <c r="B9">
        <v>29.44</v>
      </c>
    </row>
    <row r="10" spans="1:2" x14ac:dyDescent="0.25">
      <c r="A10">
        <v>33</v>
      </c>
      <c r="B10">
        <v>11</v>
      </c>
    </row>
    <row r="11" spans="1:2" x14ac:dyDescent="0.25">
      <c r="A11">
        <v>14.26</v>
      </c>
      <c r="B11">
        <v>-25.93</v>
      </c>
    </row>
    <row r="12" spans="1:2" x14ac:dyDescent="0.25">
      <c r="A12">
        <v>-15.83</v>
      </c>
      <c r="B12">
        <v>8.2899999999999991</v>
      </c>
    </row>
    <row r="13" spans="1:2" x14ac:dyDescent="0.25">
      <c r="A13">
        <v>0.63</v>
      </c>
      <c r="B13">
        <v>61</v>
      </c>
    </row>
    <row r="14" spans="1:2" x14ac:dyDescent="0.25">
      <c r="A14">
        <v>38</v>
      </c>
      <c r="B14">
        <v>-20.440000000000001</v>
      </c>
    </row>
    <row r="15" spans="1:2" x14ac:dyDescent="0.25">
      <c r="A15">
        <v>6.93</v>
      </c>
      <c r="B15">
        <v>-34.75</v>
      </c>
    </row>
    <row r="16" spans="1:2" x14ac:dyDescent="0.25">
      <c r="A16">
        <v>-13.24</v>
      </c>
      <c r="B16">
        <v>54.19</v>
      </c>
    </row>
    <row r="17" spans="1:2" x14ac:dyDescent="0.25">
      <c r="A17">
        <v>-18.95</v>
      </c>
      <c r="B17">
        <v>44</v>
      </c>
    </row>
    <row r="18" spans="1:2" x14ac:dyDescent="0.25">
      <c r="A18">
        <v>9.43</v>
      </c>
      <c r="B18">
        <v>-20.23</v>
      </c>
    </row>
    <row r="19" spans="1:2" x14ac:dyDescent="0.25">
      <c r="A19">
        <v>1.21</v>
      </c>
      <c r="B19">
        <v>4.16</v>
      </c>
    </row>
    <row r="20" spans="1:2" x14ac:dyDescent="0.25">
      <c r="A20">
        <v>31.76</v>
      </c>
      <c r="B20">
        <v>10.029999999999999</v>
      </c>
    </row>
    <row r="21" spans="1:2" x14ac:dyDescent="0.25">
      <c r="A21">
        <v>11.07</v>
      </c>
      <c r="B21">
        <v>10.51</v>
      </c>
    </row>
    <row r="22" spans="1:2" x14ac:dyDescent="0.25">
      <c r="A22">
        <v>8.4700000000000006</v>
      </c>
      <c r="B22">
        <v>39.04</v>
      </c>
    </row>
    <row r="23" spans="1:2" x14ac:dyDescent="0.25">
      <c r="A23">
        <v>36.08</v>
      </c>
      <c r="B23">
        <v>24.76</v>
      </c>
    </row>
    <row r="24" spans="1:2" x14ac:dyDescent="0.25">
      <c r="A24">
        <v>-21.95</v>
      </c>
      <c r="B24">
        <v>15.28</v>
      </c>
    </row>
    <row r="25" spans="1:2" x14ac:dyDescent="0.25">
      <c r="A25">
        <v>10.33</v>
      </c>
      <c r="B25">
        <v>34.21</v>
      </c>
    </row>
    <row r="26" spans="1:2" x14ac:dyDescent="0.25">
      <c r="A26">
        <v>12.68</v>
      </c>
      <c r="B26">
        <v>52</v>
      </c>
    </row>
    <row r="27" spans="1:2" x14ac:dyDescent="0.25">
      <c r="A27">
        <v>13.09</v>
      </c>
      <c r="B27">
        <v>-32.17</v>
      </c>
    </row>
    <row r="28" spans="1:2" x14ac:dyDescent="0.25">
      <c r="A28">
        <v>13.77</v>
      </c>
      <c r="B28">
        <v>30.31</v>
      </c>
    </row>
    <row r="29" spans="1:2" x14ac:dyDescent="0.25">
      <c r="A29">
        <v>22.42</v>
      </c>
      <c r="B29">
        <v>6.06</v>
      </c>
    </row>
    <row r="30" spans="1:2" x14ac:dyDescent="0.25">
      <c r="A30">
        <v>34.4</v>
      </c>
      <c r="B30">
        <v>14.73</v>
      </c>
    </row>
    <row r="31" spans="1:2" x14ac:dyDescent="0.25">
      <c r="A31">
        <v>49.87</v>
      </c>
      <c r="B31">
        <v>36.130000000000003</v>
      </c>
    </row>
    <row r="32" spans="1:2" x14ac:dyDescent="0.25">
      <c r="A32">
        <v>22.92</v>
      </c>
      <c r="B32">
        <v>1.53</v>
      </c>
    </row>
    <row r="33" spans="1:2" x14ac:dyDescent="0.25">
      <c r="A33">
        <v>20.95</v>
      </c>
      <c r="B33">
        <v>17.61</v>
      </c>
    </row>
    <row r="34" spans="1:2" x14ac:dyDescent="0.25">
      <c r="A34">
        <v>43.71</v>
      </c>
      <c r="B34">
        <v>1.2</v>
      </c>
    </row>
    <row r="35" spans="1:2" x14ac:dyDescent="0.25">
      <c r="A35">
        <v>-12.83</v>
      </c>
      <c r="B35">
        <v>9.94</v>
      </c>
    </row>
    <row r="36" spans="1:2" x14ac:dyDescent="0.25">
      <c r="A36">
        <v>0.52</v>
      </c>
      <c r="B36">
        <v>-33.39</v>
      </c>
    </row>
    <row r="37" spans="1:2" x14ac:dyDescent="0.25">
      <c r="A37">
        <v>61</v>
      </c>
      <c r="B37">
        <v>58.67</v>
      </c>
    </row>
    <row r="38" spans="1:2" x14ac:dyDescent="0.25">
      <c r="A38">
        <v>-11.96</v>
      </c>
      <c r="B38">
        <v>0.25</v>
      </c>
    </row>
    <row r="39" spans="1:2" x14ac:dyDescent="0.25">
      <c r="A39">
        <v>1.94</v>
      </c>
      <c r="B39">
        <v>5.23</v>
      </c>
    </row>
    <row r="40" spans="1:2" x14ac:dyDescent="0.25">
      <c r="A40">
        <v>28.45</v>
      </c>
      <c r="B40">
        <v>66</v>
      </c>
    </row>
    <row r="41" spans="1:2" x14ac:dyDescent="0.25">
      <c r="A41">
        <v>-8.5500000000000007</v>
      </c>
      <c r="B41">
        <v>24.3</v>
      </c>
    </row>
    <row r="42" spans="1:2" x14ac:dyDescent="0.25">
      <c r="A42">
        <v>-5.29</v>
      </c>
      <c r="B42">
        <v>-10.01</v>
      </c>
    </row>
    <row r="43" spans="1:2" x14ac:dyDescent="0.25">
      <c r="A43">
        <v>-7.04</v>
      </c>
      <c r="B43">
        <v>35.24</v>
      </c>
    </row>
    <row r="44" spans="1:2" x14ac:dyDescent="0.25">
      <c r="A44">
        <v>-12.11</v>
      </c>
      <c r="B44">
        <v>40.700000000000003</v>
      </c>
    </row>
    <row r="45" spans="1:2" x14ac:dyDescent="0.25">
      <c r="A45">
        <v>12.89</v>
      </c>
      <c r="B45">
        <v>22.18</v>
      </c>
    </row>
    <row r="46" spans="1:2" x14ac:dyDescent="0.25">
      <c r="A46">
        <v>63</v>
      </c>
      <c r="B46">
        <v>3.24</v>
      </c>
    </row>
    <row r="47" spans="1:2" x14ac:dyDescent="0.25">
      <c r="A47">
        <v>-19.27</v>
      </c>
      <c r="B47">
        <v>25.1</v>
      </c>
    </row>
    <row r="48" spans="1:2" x14ac:dyDescent="0.25">
      <c r="A48">
        <v>-9.2200000000000006</v>
      </c>
      <c r="B48">
        <v>-24.24</v>
      </c>
    </row>
    <row r="49" spans="1:2" x14ac:dyDescent="0.25">
      <c r="A49">
        <v>-17</v>
      </c>
      <c r="B49">
        <v>-38.47</v>
      </c>
    </row>
    <row r="50" spans="1:2" x14ac:dyDescent="0.25">
      <c r="A50">
        <v>17.3</v>
      </c>
      <c r="B50">
        <v>13.44</v>
      </c>
    </row>
    <row r="51" spans="1:2" x14ac:dyDescent="0.25">
      <c r="A51">
        <v>52</v>
      </c>
      <c r="B51">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D933-0212-4F15-8B4E-B09CF3846BF4}">
  <dimension ref="A1:B61"/>
  <sheetViews>
    <sheetView workbookViewId="0">
      <selection activeCell="H21" sqref="H21"/>
    </sheetView>
  </sheetViews>
  <sheetFormatPr defaultRowHeight="15" x14ac:dyDescent="0.25"/>
  <sheetData>
    <row r="1" spans="1:2" x14ac:dyDescent="0.25">
      <c r="A1" t="s">
        <v>57</v>
      </c>
      <c r="B1" t="s">
        <v>58</v>
      </c>
    </row>
    <row r="2" spans="1:2" x14ac:dyDescent="0.25">
      <c r="A2">
        <v>65</v>
      </c>
      <c r="B2">
        <v>77</v>
      </c>
    </row>
    <row r="3" spans="1:2" x14ac:dyDescent="0.25">
      <c r="A3">
        <v>71</v>
      </c>
      <c r="B3">
        <v>74</v>
      </c>
    </row>
    <row r="4" spans="1:2" x14ac:dyDescent="0.25">
      <c r="A4">
        <v>66</v>
      </c>
      <c r="B4">
        <v>75</v>
      </c>
    </row>
    <row r="5" spans="1:2" x14ac:dyDescent="0.25">
      <c r="A5">
        <v>79</v>
      </c>
      <c r="B5">
        <v>75</v>
      </c>
    </row>
    <row r="6" spans="1:2" x14ac:dyDescent="0.25">
      <c r="A6">
        <v>65</v>
      </c>
      <c r="B6">
        <v>67</v>
      </c>
    </row>
    <row r="7" spans="1:2" x14ac:dyDescent="0.25">
      <c r="A7">
        <v>82</v>
      </c>
      <c r="B7">
        <v>72</v>
      </c>
    </row>
    <row r="8" spans="1:2" x14ac:dyDescent="0.25">
      <c r="A8">
        <v>80</v>
      </c>
      <c r="B8">
        <v>81</v>
      </c>
    </row>
    <row r="9" spans="1:2" x14ac:dyDescent="0.25">
      <c r="A9">
        <v>86</v>
      </c>
      <c r="B9">
        <v>76</v>
      </c>
    </row>
    <row r="10" spans="1:2" x14ac:dyDescent="0.25">
      <c r="A10">
        <v>67</v>
      </c>
      <c r="B10">
        <v>79</v>
      </c>
    </row>
    <row r="11" spans="1:2" x14ac:dyDescent="0.25">
      <c r="A11">
        <v>64</v>
      </c>
      <c r="B11">
        <v>73</v>
      </c>
    </row>
    <row r="12" spans="1:2" x14ac:dyDescent="0.25">
      <c r="A12">
        <v>62</v>
      </c>
      <c r="B12">
        <v>59</v>
      </c>
    </row>
    <row r="13" spans="1:2" x14ac:dyDescent="0.25">
      <c r="A13">
        <v>74</v>
      </c>
      <c r="B13">
        <v>83</v>
      </c>
    </row>
    <row r="14" spans="1:2" x14ac:dyDescent="0.25">
      <c r="A14">
        <v>67</v>
      </c>
      <c r="B14">
        <v>77</v>
      </c>
    </row>
    <row r="15" spans="1:2" x14ac:dyDescent="0.25">
      <c r="A15">
        <v>72</v>
      </c>
      <c r="B15">
        <v>74</v>
      </c>
    </row>
    <row r="16" spans="1:2" x14ac:dyDescent="0.25">
      <c r="A16">
        <v>68</v>
      </c>
      <c r="B16">
        <v>78</v>
      </c>
    </row>
    <row r="17" spans="1:2" x14ac:dyDescent="0.25">
      <c r="A17">
        <v>81</v>
      </c>
      <c r="B17">
        <v>67</v>
      </c>
    </row>
    <row r="18" spans="1:2" x14ac:dyDescent="0.25">
      <c r="A18">
        <v>53</v>
      </c>
      <c r="B18">
        <v>82</v>
      </c>
    </row>
    <row r="19" spans="1:2" x14ac:dyDescent="0.25">
      <c r="A19">
        <v>70</v>
      </c>
      <c r="B19">
        <v>55</v>
      </c>
    </row>
    <row r="20" spans="1:2" x14ac:dyDescent="0.25">
      <c r="A20">
        <v>76</v>
      </c>
      <c r="B20">
        <v>73</v>
      </c>
    </row>
    <row r="21" spans="1:2" x14ac:dyDescent="0.25">
      <c r="A21">
        <v>73</v>
      </c>
      <c r="B21">
        <v>92</v>
      </c>
    </row>
    <row r="22" spans="1:2" x14ac:dyDescent="0.25">
      <c r="A22">
        <v>73</v>
      </c>
      <c r="B22">
        <v>75</v>
      </c>
    </row>
    <row r="23" spans="1:2" x14ac:dyDescent="0.25">
      <c r="A23">
        <v>85</v>
      </c>
      <c r="B23">
        <v>75</v>
      </c>
    </row>
    <row r="24" spans="1:2" x14ac:dyDescent="0.25">
      <c r="A24">
        <v>83</v>
      </c>
      <c r="B24">
        <v>52</v>
      </c>
    </row>
    <row r="25" spans="1:2" x14ac:dyDescent="0.25">
      <c r="A25">
        <v>80</v>
      </c>
      <c r="B25">
        <v>72</v>
      </c>
    </row>
    <row r="26" spans="1:2" x14ac:dyDescent="0.25">
      <c r="A26">
        <v>67</v>
      </c>
      <c r="B26">
        <v>78</v>
      </c>
    </row>
    <row r="27" spans="1:2" x14ac:dyDescent="0.25">
      <c r="A27">
        <v>78</v>
      </c>
      <c r="B27">
        <v>83</v>
      </c>
    </row>
    <row r="28" spans="1:2" x14ac:dyDescent="0.25">
      <c r="A28">
        <v>68</v>
      </c>
      <c r="B28">
        <v>81</v>
      </c>
    </row>
    <row r="29" spans="1:2" x14ac:dyDescent="0.25">
      <c r="A29">
        <v>67</v>
      </c>
      <c r="B29">
        <v>73</v>
      </c>
    </row>
    <row r="30" spans="1:2" x14ac:dyDescent="0.25">
      <c r="A30">
        <v>62</v>
      </c>
      <c r="B30">
        <v>72</v>
      </c>
    </row>
    <row r="31" spans="1:2" x14ac:dyDescent="0.25">
      <c r="A31">
        <v>83</v>
      </c>
      <c r="B31">
        <v>71</v>
      </c>
    </row>
    <row r="32" spans="1:2" x14ac:dyDescent="0.25">
      <c r="A32">
        <v>72</v>
      </c>
      <c r="B32">
        <v>53</v>
      </c>
    </row>
    <row r="33" spans="1:2" x14ac:dyDescent="0.25">
      <c r="A33">
        <v>85</v>
      </c>
      <c r="B33">
        <v>75</v>
      </c>
    </row>
    <row r="34" spans="1:2" x14ac:dyDescent="0.25">
      <c r="A34">
        <v>72</v>
      </c>
      <c r="B34">
        <v>76</v>
      </c>
    </row>
    <row r="35" spans="1:2" x14ac:dyDescent="0.25">
      <c r="A35">
        <v>77</v>
      </c>
      <c r="B35">
        <v>59</v>
      </c>
    </row>
    <row r="36" spans="1:2" x14ac:dyDescent="0.25">
      <c r="A36">
        <v>64</v>
      </c>
      <c r="B36">
        <v>82</v>
      </c>
    </row>
    <row r="37" spans="1:2" x14ac:dyDescent="0.25">
      <c r="A37">
        <v>77</v>
      </c>
      <c r="B37">
        <v>82</v>
      </c>
    </row>
    <row r="38" spans="1:2" x14ac:dyDescent="0.25">
      <c r="A38">
        <v>89</v>
      </c>
      <c r="B38">
        <v>70</v>
      </c>
    </row>
    <row r="39" spans="1:2" x14ac:dyDescent="0.25">
      <c r="A39">
        <v>87</v>
      </c>
      <c r="B39">
        <v>71</v>
      </c>
    </row>
    <row r="40" spans="1:2" x14ac:dyDescent="0.25">
      <c r="A40">
        <v>78</v>
      </c>
      <c r="B40">
        <v>75</v>
      </c>
    </row>
    <row r="41" spans="1:2" x14ac:dyDescent="0.25">
      <c r="A41">
        <v>79</v>
      </c>
      <c r="B41">
        <v>74</v>
      </c>
    </row>
    <row r="42" spans="1:2" x14ac:dyDescent="0.25">
      <c r="A42">
        <v>59</v>
      </c>
      <c r="B42">
        <v>53</v>
      </c>
    </row>
    <row r="43" spans="1:2" x14ac:dyDescent="0.25">
      <c r="A43">
        <v>63</v>
      </c>
      <c r="B43">
        <v>49</v>
      </c>
    </row>
    <row r="44" spans="1:2" x14ac:dyDescent="0.25">
      <c r="A44">
        <v>84</v>
      </c>
      <c r="B44">
        <v>56</v>
      </c>
    </row>
    <row r="45" spans="1:2" x14ac:dyDescent="0.25">
      <c r="A45">
        <v>74</v>
      </c>
      <c r="B45">
        <v>61</v>
      </c>
    </row>
    <row r="46" spans="1:2" x14ac:dyDescent="0.25">
      <c r="A46">
        <v>74</v>
      </c>
      <c r="B46">
        <v>61</v>
      </c>
    </row>
    <row r="47" spans="1:2" x14ac:dyDescent="0.25">
      <c r="A47">
        <v>59</v>
      </c>
      <c r="B47">
        <v>54</v>
      </c>
    </row>
    <row r="48" spans="1:2" x14ac:dyDescent="0.25">
      <c r="A48">
        <v>66</v>
      </c>
      <c r="B48">
        <v>44</v>
      </c>
    </row>
    <row r="49" spans="1:2" x14ac:dyDescent="0.25">
      <c r="A49">
        <v>71</v>
      </c>
      <c r="B49">
        <v>54</v>
      </c>
    </row>
    <row r="50" spans="1:2" x14ac:dyDescent="0.25">
      <c r="A50">
        <v>68</v>
      </c>
      <c r="B50">
        <v>60</v>
      </c>
    </row>
    <row r="51" spans="1:2" x14ac:dyDescent="0.25">
      <c r="A51">
        <v>72</v>
      </c>
      <c r="B51">
        <v>50</v>
      </c>
    </row>
    <row r="52" spans="1:2" x14ac:dyDescent="0.25">
      <c r="A52">
        <v>75</v>
      </c>
      <c r="B52">
        <v>52</v>
      </c>
    </row>
    <row r="53" spans="1:2" x14ac:dyDescent="0.25">
      <c r="A53">
        <v>74</v>
      </c>
      <c r="B53">
        <v>47</v>
      </c>
    </row>
    <row r="54" spans="1:2" x14ac:dyDescent="0.25">
      <c r="A54">
        <v>77</v>
      </c>
      <c r="B54">
        <v>46</v>
      </c>
    </row>
    <row r="55" spans="1:2" x14ac:dyDescent="0.25">
      <c r="A55">
        <v>69</v>
      </c>
      <c r="B55">
        <v>50</v>
      </c>
    </row>
    <row r="56" spans="1:2" x14ac:dyDescent="0.25">
      <c r="A56">
        <v>60</v>
      </c>
      <c r="B56">
        <v>51</v>
      </c>
    </row>
    <row r="57" spans="1:2" x14ac:dyDescent="0.25">
      <c r="A57">
        <v>92</v>
      </c>
      <c r="B57">
        <v>44</v>
      </c>
    </row>
    <row r="58" spans="1:2" x14ac:dyDescent="0.25">
      <c r="A58">
        <v>69</v>
      </c>
      <c r="B58">
        <v>52</v>
      </c>
    </row>
    <row r="59" spans="1:2" x14ac:dyDescent="0.25">
      <c r="A59">
        <v>69</v>
      </c>
      <c r="B59">
        <v>53</v>
      </c>
    </row>
    <row r="60" spans="1:2" x14ac:dyDescent="0.25">
      <c r="A60">
        <v>73</v>
      </c>
      <c r="B60">
        <v>56</v>
      </c>
    </row>
    <row r="61" spans="1:2" x14ac:dyDescent="0.25">
      <c r="A61">
        <v>65</v>
      </c>
      <c r="B61">
        <v>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F95D-2F6D-410C-95A1-F5021EA3557C}">
  <dimension ref="A1:C361"/>
  <sheetViews>
    <sheetView workbookViewId="0">
      <selection activeCell="H14" sqref="H14"/>
    </sheetView>
  </sheetViews>
  <sheetFormatPr defaultRowHeight="15" x14ac:dyDescent="0.25"/>
  <cols>
    <col min="1" max="1" width="4.85546875" bestFit="1" customWidth="1"/>
    <col min="2" max="2" width="6.42578125" bestFit="1" customWidth="1"/>
    <col min="3" max="3" width="14.7109375" bestFit="1" customWidth="1"/>
  </cols>
  <sheetData>
    <row r="1" spans="1:3" x14ac:dyDescent="0.25">
      <c r="A1" t="s">
        <v>59</v>
      </c>
      <c r="B1" t="s">
        <v>60</v>
      </c>
      <c r="C1" t="s">
        <v>61</v>
      </c>
    </row>
    <row r="2" spans="1:3" x14ac:dyDescent="0.25">
      <c r="A2">
        <v>1991</v>
      </c>
      <c r="B2">
        <v>1</v>
      </c>
      <c r="C2">
        <v>1.18</v>
      </c>
    </row>
    <row r="3" spans="1:3" x14ac:dyDescent="0.25">
      <c r="A3">
        <v>1991</v>
      </c>
      <c r="B3">
        <v>2</v>
      </c>
      <c r="C3">
        <v>1.0940000000000001</v>
      </c>
    </row>
    <row r="4" spans="1:3" x14ac:dyDescent="0.25">
      <c r="A4">
        <v>1991</v>
      </c>
      <c r="B4">
        <v>3</v>
      </c>
      <c r="C4">
        <v>1.04</v>
      </c>
    </row>
    <row r="5" spans="1:3" x14ac:dyDescent="0.25">
      <c r="A5">
        <v>1991</v>
      </c>
      <c r="B5">
        <v>4</v>
      </c>
      <c r="C5">
        <v>1.0760000000000001</v>
      </c>
    </row>
    <row r="6" spans="1:3" x14ac:dyDescent="0.25">
      <c r="A6">
        <v>1991</v>
      </c>
      <c r="B6">
        <v>5</v>
      </c>
      <c r="C6">
        <v>1.1259999999999999</v>
      </c>
    </row>
    <row r="7" spans="1:3" x14ac:dyDescent="0.25">
      <c r="A7">
        <v>1991</v>
      </c>
      <c r="B7">
        <v>6</v>
      </c>
      <c r="C7">
        <v>1.1279999999999999</v>
      </c>
    </row>
    <row r="8" spans="1:3" x14ac:dyDescent="0.25">
      <c r="A8">
        <v>1991</v>
      </c>
      <c r="B8">
        <v>7</v>
      </c>
      <c r="C8">
        <v>1.0960000000000001</v>
      </c>
    </row>
    <row r="9" spans="1:3" x14ac:dyDescent="0.25">
      <c r="A9">
        <v>1991</v>
      </c>
      <c r="B9">
        <v>8</v>
      </c>
      <c r="C9">
        <v>1.115</v>
      </c>
    </row>
    <row r="10" spans="1:3" x14ac:dyDescent="0.25">
      <c r="A10">
        <v>1991</v>
      </c>
      <c r="B10">
        <v>9</v>
      </c>
      <c r="C10">
        <v>1.109</v>
      </c>
    </row>
    <row r="11" spans="1:3" x14ac:dyDescent="0.25">
      <c r="A11">
        <v>1991</v>
      </c>
      <c r="B11">
        <v>10</v>
      </c>
      <c r="C11">
        <v>1.0880000000000001</v>
      </c>
    </row>
    <row r="12" spans="1:3" x14ac:dyDescent="0.25">
      <c r="A12">
        <v>1991</v>
      </c>
      <c r="B12">
        <v>11</v>
      </c>
      <c r="C12">
        <v>1.099</v>
      </c>
    </row>
    <row r="13" spans="1:3" x14ac:dyDescent="0.25">
      <c r="A13">
        <v>1991</v>
      </c>
      <c r="B13">
        <v>12</v>
      </c>
      <c r="C13">
        <v>1.0760000000000001</v>
      </c>
    </row>
    <row r="14" spans="1:3" x14ac:dyDescent="0.25">
      <c r="A14">
        <v>1992</v>
      </c>
      <c r="B14">
        <v>1</v>
      </c>
      <c r="C14">
        <v>1.022</v>
      </c>
    </row>
    <row r="15" spans="1:3" x14ac:dyDescent="0.25">
      <c r="A15">
        <v>1992</v>
      </c>
      <c r="B15">
        <v>2</v>
      </c>
      <c r="C15">
        <v>1.006</v>
      </c>
    </row>
    <row r="16" spans="1:3" x14ac:dyDescent="0.25">
      <c r="A16">
        <v>1992</v>
      </c>
      <c r="B16">
        <v>3</v>
      </c>
      <c r="C16">
        <v>1.0129999999999999</v>
      </c>
    </row>
    <row r="17" spans="1:3" x14ac:dyDescent="0.25">
      <c r="A17">
        <v>1992</v>
      </c>
      <c r="B17">
        <v>4</v>
      </c>
      <c r="C17">
        <v>1.052</v>
      </c>
    </row>
    <row r="18" spans="1:3" x14ac:dyDescent="0.25">
      <c r="A18">
        <v>1992</v>
      </c>
      <c r="B18">
        <v>5</v>
      </c>
      <c r="C18">
        <v>1.107</v>
      </c>
    </row>
    <row r="19" spans="1:3" x14ac:dyDescent="0.25">
      <c r="A19">
        <v>1992</v>
      </c>
      <c r="B19">
        <v>6</v>
      </c>
      <c r="C19">
        <v>1.145</v>
      </c>
    </row>
    <row r="20" spans="1:3" x14ac:dyDescent="0.25">
      <c r="A20">
        <v>1992</v>
      </c>
      <c r="B20">
        <v>7</v>
      </c>
      <c r="C20">
        <v>1.137</v>
      </c>
    </row>
    <row r="21" spans="1:3" x14ac:dyDescent="0.25">
      <c r="A21">
        <v>1992</v>
      </c>
      <c r="B21">
        <v>8</v>
      </c>
      <c r="C21">
        <v>1.1220000000000001</v>
      </c>
    </row>
    <row r="22" spans="1:3" x14ac:dyDescent="0.25">
      <c r="A22">
        <v>1992</v>
      </c>
      <c r="B22">
        <v>9</v>
      </c>
      <c r="C22">
        <v>1.1220000000000001</v>
      </c>
    </row>
    <row r="23" spans="1:3" x14ac:dyDescent="0.25">
      <c r="A23">
        <v>1992</v>
      </c>
      <c r="B23">
        <v>10</v>
      </c>
      <c r="C23">
        <v>1.1140000000000001</v>
      </c>
    </row>
    <row r="24" spans="1:3" x14ac:dyDescent="0.25">
      <c r="A24">
        <v>1992</v>
      </c>
      <c r="B24">
        <v>11</v>
      </c>
      <c r="C24">
        <v>1.111</v>
      </c>
    </row>
    <row r="25" spans="1:3" x14ac:dyDescent="0.25">
      <c r="A25">
        <v>1992</v>
      </c>
      <c r="B25">
        <v>12</v>
      </c>
      <c r="C25">
        <v>1.0780000000000001</v>
      </c>
    </row>
    <row r="26" spans="1:3" x14ac:dyDescent="0.25">
      <c r="A26">
        <v>1993</v>
      </c>
      <c r="B26">
        <v>1</v>
      </c>
      <c r="C26">
        <v>1.0620000000000001</v>
      </c>
    </row>
    <row r="27" spans="1:3" x14ac:dyDescent="0.25">
      <c r="A27">
        <v>1993</v>
      </c>
      <c r="B27">
        <v>2</v>
      </c>
      <c r="C27">
        <v>1.054</v>
      </c>
    </row>
    <row r="28" spans="1:3" x14ac:dyDescent="0.25">
      <c r="A28">
        <v>1993</v>
      </c>
      <c r="B28">
        <v>3</v>
      </c>
      <c r="C28">
        <v>1.052</v>
      </c>
    </row>
    <row r="29" spans="1:3" x14ac:dyDescent="0.25">
      <c r="A29">
        <v>1993</v>
      </c>
      <c r="B29">
        <v>4</v>
      </c>
      <c r="C29">
        <v>1.0780000000000001</v>
      </c>
    </row>
    <row r="30" spans="1:3" x14ac:dyDescent="0.25">
      <c r="A30">
        <v>1993</v>
      </c>
      <c r="B30">
        <v>5</v>
      </c>
      <c r="C30">
        <v>1.1000000000000001</v>
      </c>
    </row>
    <row r="31" spans="1:3" x14ac:dyDescent="0.25">
      <c r="A31">
        <v>1993</v>
      </c>
      <c r="B31">
        <v>6</v>
      </c>
      <c r="C31">
        <v>1.097</v>
      </c>
    </row>
    <row r="32" spans="1:3" x14ac:dyDescent="0.25">
      <c r="A32">
        <v>1993</v>
      </c>
      <c r="B32">
        <v>7</v>
      </c>
      <c r="C32">
        <v>1.0780000000000001</v>
      </c>
    </row>
    <row r="33" spans="1:3" x14ac:dyDescent="0.25">
      <c r="A33">
        <v>1993</v>
      </c>
      <c r="B33">
        <v>8</v>
      </c>
      <c r="C33">
        <v>1.0620000000000001</v>
      </c>
    </row>
    <row r="34" spans="1:3" x14ac:dyDescent="0.25">
      <c r="A34">
        <v>1993</v>
      </c>
      <c r="B34">
        <v>9</v>
      </c>
      <c r="C34">
        <v>1.05</v>
      </c>
    </row>
    <row r="35" spans="1:3" x14ac:dyDescent="0.25">
      <c r="A35">
        <v>1993</v>
      </c>
      <c r="B35">
        <v>10</v>
      </c>
      <c r="C35">
        <v>1.0920000000000001</v>
      </c>
    </row>
    <row r="36" spans="1:3" x14ac:dyDescent="0.25">
      <c r="A36">
        <v>1993</v>
      </c>
      <c r="B36">
        <v>11</v>
      </c>
      <c r="C36">
        <v>1.0660000000000001</v>
      </c>
    </row>
    <row r="37" spans="1:3" x14ac:dyDescent="0.25">
      <c r="A37">
        <v>1993</v>
      </c>
      <c r="B37">
        <v>12</v>
      </c>
      <c r="C37">
        <v>1.014</v>
      </c>
    </row>
    <row r="38" spans="1:3" x14ac:dyDescent="0.25">
      <c r="A38">
        <v>1994</v>
      </c>
      <c r="B38">
        <v>1</v>
      </c>
      <c r="C38">
        <v>0.998</v>
      </c>
    </row>
    <row r="39" spans="1:3" x14ac:dyDescent="0.25">
      <c r="A39">
        <v>1994</v>
      </c>
      <c r="B39">
        <v>2</v>
      </c>
      <c r="C39">
        <v>1.0089999999999999</v>
      </c>
    </row>
    <row r="40" spans="1:3" x14ac:dyDescent="0.25">
      <c r="A40">
        <v>1994</v>
      </c>
      <c r="B40">
        <v>3</v>
      </c>
      <c r="C40">
        <v>1.008</v>
      </c>
    </row>
    <row r="41" spans="1:3" x14ac:dyDescent="0.25">
      <c r="A41">
        <v>1994</v>
      </c>
      <c r="B41">
        <v>4</v>
      </c>
      <c r="C41">
        <v>1.0269999999999999</v>
      </c>
    </row>
    <row r="42" spans="1:3" x14ac:dyDescent="0.25">
      <c r="A42">
        <v>1994</v>
      </c>
      <c r="B42">
        <v>5</v>
      </c>
      <c r="C42">
        <v>1.0469999999999999</v>
      </c>
    </row>
    <row r="43" spans="1:3" x14ac:dyDescent="0.25">
      <c r="A43">
        <v>1994</v>
      </c>
      <c r="B43">
        <v>6</v>
      </c>
      <c r="C43">
        <v>1.0780000000000001</v>
      </c>
    </row>
    <row r="44" spans="1:3" x14ac:dyDescent="0.25">
      <c r="A44">
        <v>1994</v>
      </c>
      <c r="B44">
        <v>7</v>
      </c>
      <c r="C44">
        <v>1.1060000000000001</v>
      </c>
    </row>
    <row r="45" spans="1:3" x14ac:dyDescent="0.25">
      <c r="A45">
        <v>1994</v>
      </c>
      <c r="B45">
        <v>8</v>
      </c>
      <c r="C45">
        <v>1.155</v>
      </c>
    </row>
    <row r="46" spans="1:3" x14ac:dyDescent="0.25">
      <c r="A46">
        <v>1994</v>
      </c>
      <c r="B46">
        <v>9</v>
      </c>
      <c r="C46">
        <v>1.1439999999999999</v>
      </c>
    </row>
    <row r="47" spans="1:3" x14ac:dyDescent="0.25">
      <c r="A47">
        <v>1994</v>
      </c>
      <c r="B47">
        <v>10</v>
      </c>
      <c r="C47">
        <v>1.1140000000000001</v>
      </c>
    </row>
    <row r="48" spans="1:3" x14ac:dyDescent="0.25">
      <c r="A48">
        <v>1994</v>
      </c>
      <c r="B48">
        <v>11</v>
      </c>
      <c r="C48">
        <v>1.1100000000000001</v>
      </c>
    </row>
    <row r="49" spans="1:3" x14ac:dyDescent="0.25">
      <c r="A49">
        <v>1994</v>
      </c>
      <c r="B49">
        <v>12</v>
      </c>
      <c r="C49">
        <v>1.06</v>
      </c>
    </row>
    <row r="50" spans="1:3" x14ac:dyDescent="0.25">
      <c r="A50">
        <v>1995</v>
      </c>
      <c r="B50">
        <v>1</v>
      </c>
      <c r="C50">
        <v>1.0660000000000001</v>
      </c>
    </row>
    <row r="51" spans="1:3" x14ac:dyDescent="0.25">
      <c r="A51">
        <v>1995</v>
      </c>
      <c r="B51">
        <v>2</v>
      </c>
      <c r="C51">
        <v>1.0580000000000001</v>
      </c>
    </row>
    <row r="52" spans="1:3" x14ac:dyDescent="0.25">
      <c r="A52">
        <v>1995</v>
      </c>
      <c r="B52">
        <v>3</v>
      </c>
      <c r="C52">
        <v>1.0589999999999999</v>
      </c>
    </row>
    <row r="53" spans="1:3" x14ac:dyDescent="0.25">
      <c r="A53">
        <v>1995</v>
      </c>
      <c r="B53">
        <v>4</v>
      </c>
      <c r="C53">
        <v>1.1040000000000001</v>
      </c>
    </row>
    <row r="54" spans="1:3" x14ac:dyDescent="0.25">
      <c r="A54">
        <v>1995</v>
      </c>
      <c r="B54">
        <v>5</v>
      </c>
      <c r="C54">
        <v>1.1719999999999999</v>
      </c>
    </row>
    <row r="55" spans="1:3" x14ac:dyDescent="0.25">
      <c r="A55">
        <v>1995</v>
      </c>
      <c r="B55">
        <v>6</v>
      </c>
      <c r="C55">
        <v>1.1859999999999999</v>
      </c>
    </row>
    <row r="56" spans="1:3" x14ac:dyDescent="0.25">
      <c r="A56">
        <v>1995</v>
      </c>
      <c r="B56">
        <v>7</v>
      </c>
      <c r="C56">
        <v>1.1479999999999999</v>
      </c>
    </row>
    <row r="57" spans="1:3" x14ac:dyDescent="0.25">
      <c r="A57">
        <v>1995</v>
      </c>
      <c r="B57">
        <v>8</v>
      </c>
      <c r="C57">
        <v>1.1200000000000001</v>
      </c>
    </row>
    <row r="58" spans="1:3" x14ac:dyDescent="0.25">
      <c r="A58">
        <v>1995</v>
      </c>
      <c r="B58">
        <v>9</v>
      </c>
      <c r="C58">
        <v>1.1080000000000001</v>
      </c>
    </row>
    <row r="59" spans="1:3" x14ac:dyDescent="0.25">
      <c r="A59">
        <v>1995</v>
      </c>
      <c r="B59">
        <v>10</v>
      </c>
      <c r="C59">
        <v>1.0820000000000001</v>
      </c>
    </row>
    <row r="60" spans="1:3" x14ac:dyDescent="0.25">
      <c r="A60">
        <v>1995</v>
      </c>
      <c r="B60">
        <v>11</v>
      </c>
      <c r="C60">
        <v>1.0580000000000001</v>
      </c>
    </row>
    <row r="61" spans="1:3" x14ac:dyDescent="0.25">
      <c r="A61">
        <v>1995</v>
      </c>
      <c r="B61">
        <v>12</v>
      </c>
      <c r="C61">
        <v>1.0660000000000001</v>
      </c>
    </row>
    <row r="62" spans="1:3" x14ac:dyDescent="0.25">
      <c r="A62">
        <v>1996</v>
      </c>
      <c r="B62">
        <v>1</v>
      </c>
      <c r="C62">
        <v>1.0840000000000001</v>
      </c>
    </row>
    <row r="63" spans="1:3" x14ac:dyDescent="0.25">
      <c r="A63">
        <v>1996</v>
      </c>
      <c r="B63">
        <v>2</v>
      </c>
      <c r="C63">
        <v>1.0820000000000001</v>
      </c>
    </row>
    <row r="64" spans="1:3" x14ac:dyDescent="0.25">
      <c r="A64">
        <v>1996</v>
      </c>
      <c r="B64">
        <v>3</v>
      </c>
      <c r="C64">
        <v>1.129</v>
      </c>
    </row>
    <row r="65" spans="1:3" x14ac:dyDescent="0.25">
      <c r="A65">
        <v>1996</v>
      </c>
      <c r="B65">
        <v>4</v>
      </c>
      <c r="C65">
        <v>1.22</v>
      </c>
    </row>
    <row r="66" spans="1:3" x14ac:dyDescent="0.25">
      <c r="A66">
        <v>1996</v>
      </c>
      <c r="B66">
        <v>5</v>
      </c>
      <c r="C66">
        <v>1.2629999999999999</v>
      </c>
    </row>
    <row r="67" spans="1:3" x14ac:dyDescent="0.25">
      <c r="A67">
        <v>1996</v>
      </c>
      <c r="B67">
        <v>6</v>
      </c>
      <c r="C67">
        <v>1.2430000000000001</v>
      </c>
    </row>
    <row r="68" spans="1:3" x14ac:dyDescent="0.25">
      <c r="A68">
        <v>1996</v>
      </c>
      <c r="B68">
        <v>7</v>
      </c>
      <c r="C68">
        <v>1.2150000000000001</v>
      </c>
    </row>
    <row r="69" spans="1:3" x14ac:dyDescent="0.25">
      <c r="A69">
        <v>1996</v>
      </c>
      <c r="B69">
        <v>8</v>
      </c>
      <c r="C69">
        <v>1.1990000000000001</v>
      </c>
    </row>
    <row r="70" spans="1:3" x14ac:dyDescent="0.25">
      <c r="A70">
        <v>1996</v>
      </c>
      <c r="B70">
        <v>9</v>
      </c>
      <c r="C70">
        <v>1.2</v>
      </c>
    </row>
    <row r="71" spans="1:3" x14ac:dyDescent="0.25">
      <c r="A71">
        <v>1996</v>
      </c>
      <c r="B71">
        <v>10</v>
      </c>
      <c r="C71">
        <v>1.204</v>
      </c>
    </row>
    <row r="72" spans="1:3" x14ac:dyDescent="0.25">
      <c r="A72">
        <v>1996</v>
      </c>
      <c r="B72">
        <v>11</v>
      </c>
      <c r="C72">
        <v>1.2350000000000001</v>
      </c>
    </row>
    <row r="73" spans="1:3" x14ac:dyDescent="0.25">
      <c r="A73">
        <v>1996</v>
      </c>
      <c r="B73">
        <v>12</v>
      </c>
      <c r="C73">
        <v>1.2330000000000001</v>
      </c>
    </row>
    <row r="74" spans="1:3" x14ac:dyDescent="0.25">
      <c r="A74">
        <v>1997</v>
      </c>
      <c r="B74">
        <v>1</v>
      </c>
      <c r="C74">
        <v>1.2310000000000001</v>
      </c>
    </row>
    <row r="75" spans="1:3" x14ac:dyDescent="0.25">
      <c r="A75">
        <v>1997</v>
      </c>
      <c r="B75">
        <v>2</v>
      </c>
      <c r="C75">
        <v>1.224</v>
      </c>
    </row>
    <row r="76" spans="1:3" x14ac:dyDescent="0.25">
      <c r="A76">
        <v>1997</v>
      </c>
      <c r="B76">
        <v>3</v>
      </c>
      <c r="C76">
        <v>1.1970000000000001</v>
      </c>
    </row>
    <row r="77" spans="1:3" x14ac:dyDescent="0.25">
      <c r="A77">
        <v>1997</v>
      </c>
      <c r="B77">
        <v>4</v>
      </c>
      <c r="C77">
        <v>1.1879999999999999</v>
      </c>
    </row>
    <row r="78" spans="1:3" x14ac:dyDescent="0.25">
      <c r="A78">
        <v>1997</v>
      </c>
      <c r="B78">
        <v>5</v>
      </c>
      <c r="C78">
        <v>1.1910000000000001</v>
      </c>
    </row>
    <row r="79" spans="1:3" x14ac:dyDescent="0.25">
      <c r="A79">
        <v>1997</v>
      </c>
      <c r="B79">
        <v>6</v>
      </c>
      <c r="C79">
        <v>1.1890000000000001</v>
      </c>
    </row>
    <row r="80" spans="1:3" x14ac:dyDescent="0.25">
      <c r="A80">
        <v>1997</v>
      </c>
      <c r="B80">
        <v>7</v>
      </c>
      <c r="C80">
        <v>1.167</v>
      </c>
    </row>
    <row r="81" spans="1:3" x14ac:dyDescent="0.25">
      <c r="A81">
        <v>1997</v>
      </c>
      <c r="B81">
        <v>8</v>
      </c>
      <c r="C81">
        <v>1.2130000000000001</v>
      </c>
    </row>
    <row r="82" spans="1:3" x14ac:dyDescent="0.25">
      <c r="A82">
        <v>1997</v>
      </c>
      <c r="B82">
        <v>9</v>
      </c>
      <c r="C82">
        <v>1.216</v>
      </c>
    </row>
    <row r="83" spans="1:3" x14ac:dyDescent="0.25">
      <c r="A83">
        <v>1997</v>
      </c>
      <c r="B83">
        <v>10</v>
      </c>
      <c r="C83">
        <v>1.1819999999999999</v>
      </c>
    </row>
    <row r="84" spans="1:3" x14ac:dyDescent="0.25">
      <c r="A84">
        <v>1997</v>
      </c>
      <c r="B84">
        <v>11</v>
      </c>
      <c r="C84">
        <v>1.1579999999999999</v>
      </c>
    </row>
    <row r="85" spans="1:3" x14ac:dyDescent="0.25">
      <c r="A85">
        <v>1997</v>
      </c>
      <c r="B85">
        <v>12</v>
      </c>
      <c r="C85">
        <v>1.119</v>
      </c>
    </row>
    <row r="86" spans="1:3" x14ac:dyDescent="0.25">
      <c r="A86">
        <v>1998</v>
      </c>
      <c r="B86">
        <v>1</v>
      </c>
      <c r="C86">
        <v>1.075</v>
      </c>
    </row>
    <row r="87" spans="1:3" x14ac:dyDescent="0.25">
      <c r="A87">
        <v>1998</v>
      </c>
      <c r="B87">
        <v>2</v>
      </c>
      <c r="C87">
        <v>1.042</v>
      </c>
    </row>
    <row r="88" spans="1:3" x14ac:dyDescent="0.25">
      <c r="A88">
        <v>1998</v>
      </c>
      <c r="B88">
        <v>3</v>
      </c>
      <c r="C88">
        <v>1.014</v>
      </c>
    </row>
    <row r="89" spans="1:3" x14ac:dyDescent="0.25">
      <c r="A89">
        <v>1998</v>
      </c>
      <c r="B89">
        <v>4</v>
      </c>
      <c r="C89">
        <v>1.024</v>
      </c>
    </row>
    <row r="90" spans="1:3" x14ac:dyDescent="0.25">
      <c r="A90">
        <v>1998</v>
      </c>
      <c r="B90">
        <v>5</v>
      </c>
      <c r="C90">
        <v>1.0489999999999999</v>
      </c>
    </row>
    <row r="91" spans="1:3" x14ac:dyDescent="0.25">
      <c r="A91">
        <v>1998</v>
      </c>
      <c r="B91">
        <v>6</v>
      </c>
      <c r="C91">
        <v>1.048</v>
      </c>
    </row>
    <row r="92" spans="1:3" x14ac:dyDescent="0.25">
      <c r="A92">
        <v>1998</v>
      </c>
      <c r="B92">
        <v>7</v>
      </c>
      <c r="C92">
        <v>1.0389999999999999</v>
      </c>
    </row>
    <row r="93" spans="1:3" x14ac:dyDescent="0.25">
      <c r="A93">
        <v>1998</v>
      </c>
      <c r="B93">
        <v>8</v>
      </c>
      <c r="C93">
        <v>1.0109999999999999</v>
      </c>
    </row>
    <row r="94" spans="1:3" x14ac:dyDescent="0.25">
      <c r="A94">
        <v>1998</v>
      </c>
      <c r="B94">
        <v>9</v>
      </c>
      <c r="C94">
        <v>0.99399999999999999</v>
      </c>
    </row>
    <row r="95" spans="1:3" x14ac:dyDescent="0.25">
      <c r="A95">
        <v>1998</v>
      </c>
      <c r="B95">
        <v>10</v>
      </c>
      <c r="C95">
        <v>1.006</v>
      </c>
    </row>
    <row r="96" spans="1:3" x14ac:dyDescent="0.25">
      <c r="A96">
        <v>1998</v>
      </c>
      <c r="B96">
        <v>11</v>
      </c>
      <c r="C96">
        <v>0.97899999999999998</v>
      </c>
    </row>
    <row r="97" spans="1:3" x14ac:dyDescent="0.25">
      <c r="A97">
        <v>1998</v>
      </c>
      <c r="B97">
        <v>12</v>
      </c>
      <c r="C97">
        <v>0.92300000000000004</v>
      </c>
    </row>
    <row r="98" spans="1:3" x14ac:dyDescent="0.25">
      <c r="A98">
        <v>1999</v>
      </c>
      <c r="B98">
        <v>1</v>
      </c>
      <c r="C98">
        <v>0.91700000000000004</v>
      </c>
    </row>
    <row r="99" spans="1:3" x14ac:dyDescent="0.25">
      <c r="A99">
        <v>1999</v>
      </c>
      <c r="B99">
        <v>2</v>
      </c>
      <c r="C99">
        <v>0.9</v>
      </c>
    </row>
    <row r="100" spans="1:3" x14ac:dyDescent="0.25">
      <c r="A100">
        <v>1999</v>
      </c>
      <c r="B100">
        <v>3</v>
      </c>
      <c r="C100">
        <v>0.96099999999999997</v>
      </c>
    </row>
    <row r="101" spans="1:3" x14ac:dyDescent="0.25">
      <c r="A101">
        <v>1999</v>
      </c>
      <c r="B101">
        <v>4</v>
      </c>
      <c r="C101">
        <v>1.099</v>
      </c>
    </row>
    <row r="102" spans="1:3" x14ac:dyDescent="0.25">
      <c r="A102">
        <v>1999</v>
      </c>
      <c r="B102">
        <v>5</v>
      </c>
      <c r="C102">
        <v>1.103</v>
      </c>
    </row>
    <row r="103" spans="1:3" x14ac:dyDescent="0.25">
      <c r="A103">
        <v>1999</v>
      </c>
      <c r="B103">
        <v>6</v>
      </c>
      <c r="C103">
        <v>1.095</v>
      </c>
    </row>
    <row r="104" spans="1:3" x14ac:dyDescent="0.25">
      <c r="A104">
        <v>1999</v>
      </c>
      <c r="B104">
        <v>7</v>
      </c>
      <c r="C104">
        <v>1.1379999999999999</v>
      </c>
    </row>
    <row r="105" spans="1:3" x14ac:dyDescent="0.25">
      <c r="A105">
        <v>1999</v>
      </c>
      <c r="B105">
        <v>8</v>
      </c>
      <c r="C105">
        <v>1.1990000000000001</v>
      </c>
    </row>
    <row r="106" spans="1:3" x14ac:dyDescent="0.25">
      <c r="A106">
        <v>1999</v>
      </c>
      <c r="B106">
        <v>9</v>
      </c>
      <c r="C106">
        <v>1.2390000000000001</v>
      </c>
    </row>
    <row r="107" spans="1:3" x14ac:dyDescent="0.25">
      <c r="A107">
        <v>1999</v>
      </c>
      <c r="B107">
        <v>10</v>
      </c>
      <c r="C107">
        <v>1.23</v>
      </c>
    </row>
    <row r="108" spans="1:3" x14ac:dyDescent="0.25">
      <c r="A108">
        <v>1999</v>
      </c>
      <c r="B108">
        <v>11</v>
      </c>
      <c r="C108">
        <v>1.24</v>
      </c>
    </row>
    <row r="109" spans="1:3" x14ac:dyDescent="0.25">
      <c r="A109">
        <v>1999</v>
      </c>
      <c r="B109">
        <v>12</v>
      </c>
      <c r="C109">
        <v>1.2609999999999999</v>
      </c>
    </row>
    <row r="110" spans="1:3" x14ac:dyDescent="0.25">
      <c r="A110">
        <v>2000</v>
      </c>
      <c r="B110">
        <v>1</v>
      </c>
      <c r="C110">
        <v>1.2789999999999999</v>
      </c>
    </row>
    <row r="111" spans="1:3" x14ac:dyDescent="0.25">
      <c r="A111">
        <v>2000</v>
      </c>
      <c r="B111">
        <v>2</v>
      </c>
      <c r="C111">
        <v>1.371</v>
      </c>
    </row>
    <row r="112" spans="1:3" x14ac:dyDescent="0.25">
      <c r="A112">
        <v>2000</v>
      </c>
      <c r="B112">
        <v>3</v>
      </c>
      <c r="C112">
        <v>1.498</v>
      </c>
    </row>
    <row r="113" spans="1:3" x14ac:dyDescent="0.25">
      <c r="A113">
        <v>2000</v>
      </c>
      <c r="B113">
        <v>4</v>
      </c>
      <c r="C113">
        <v>1.4370000000000001</v>
      </c>
    </row>
    <row r="114" spans="1:3" x14ac:dyDescent="0.25">
      <c r="A114">
        <v>2000</v>
      </c>
      <c r="B114">
        <v>5</v>
      </c>
      <c r="C114">
        <v>1.456</v>
      </c>
    </row>
    <row r="115" spans="1:3" x14ac:dyDescent="0.25">
      <c r="A115">
        <v>2000</v>
      </c>
      <c r="B115">
        <v>6</v>
      </c>
      <c r="C115">
        <v>1.6120000000000001</v>
      </c>
    </row>
    <row r="116" spans="1:3" x14ac:dyDescent="0.25">
      <c r="A116">
        <v>2000</v>
      </c>
      <c r="B116">
        <v>7</v>
      </c>
      <c r="C116">
        <v>1.5289999999999999</v>
      </c>
    </row>
    <row r="117" spans="1:3" x14ac:dyDescent="0.25">
      <c r="A117">
        <v>2000</v>
      </c>
      <c r="B117">
        <v>8</v>
      </c>
      <c r="C117">
        <v>1.4390000000000001</v>
      </c>
    </row>
    <row r="118" spans="1:3" x14ac:dyDescent="0.25">
      <c r="A118">
        <v>2000</v>
      </c>
      <c r="B118">
        <v>9</v>
      </c>
      <c r="C118">
        <v>1.5249999999999999</v>
      </c>
    </row>
    <row r="119" spans="1:3" x14ac:dyDescent="0.25">
      <c r="A119">
        <v>2000</v>
      </c>
      <c r="B119">
        <v>10</v>
      </c>
      <c r="C119">
        <v>1.508</v>
      </c>
    </row>
    <row r="120" spans="1:3" x14ac:dyDescent="0.25">
      <c r="A120">
        <v>2000</v>
      </c>
      <c r="B120">
        <v>11</v>
      </c>
      <c r="C120">
        <v>1.4950000000000001</v>
      </c>
    </row>
    <row r="121" spans="1:3" x14ac:dyDescent="0.25">
      <c r="A121">
        <v>2000</v>
      </c>
      <c r="B121">
        <v>12</v>
      </c>
      <c r="C121">
        <v>1.4179999999999999</v>
      </c>
    </row>
    <row r="122" spans="1:3" x14ac:dyDescent="0.25">
      <c r="A122">
        <v>2001</v>
      </c>
      <c r="B122">
        <v>1</v>
      </c>
      <c r="C122">
        <v>1.427</v>
      </c>
    </row>
    <row r="123" spans="1:3" x14ac:dyDescent="0.25">
      <c r="A123">
        <v>2001</v>
      </c>
      <c r="B123">
        <v>2</v>
      </c>
      <c r="C123">
        <v>1.431</v>
      </c>
    </row>
    <row r="124" spans="1:3" x14ac:dyDescent="0.25">
      <c r="A124">
        <v>2001</v>
      </c>
      <c r="B124">
        <v>3</v>
      </c>
      <c r="C124">
        <v>1.3839999999999999</v>
      </c>
    </row>
    <row r="125" spans="1:3" x14ac:dyDescent="0.25">
      <c r="A125">
        <v>2001</v>
      </c>
      <c r="B125">
        <v>4</v>
      </c>
      <c r="C125">
        <v>1.5169999999999999</v>
      </c>
    </row>
    <row r="126" spans="1:3" x14ac:dyDescent="0.25">
      <c r="A126">
        <v>2001</v>
      </c>
      <c r="B126">
        <v>5</v>
      </c>
      <c r="C126">
        <v>1.6539999999999999</v>
      </c>
    </row>
    <row r="127" spans="1:3" x14ac:dyDescent="0.25">
      <c r="A127">
        <v>2001</v>
      </c>
      <c r="B127">
        <v>6</v>
      </c>
      <c r="C127">
        <v>1.548</v>
      </c>
    </row>
    <row r="128" spans="1:3" x14ac:dyDescent="0.25">
      <c r="A128">
        <v>2001</v>
      </c>
      <c r="B128">
        <v>7</v>
      </c>
      <c r="C128">
        <v>1.34</v>
      </c>
    </row>
    <row r="129" spans="1:3" x14ac:dyDescent="0.25">
      <c r="A129">
        <v>2001</v>
      </c>
      <c r="B129">
        <v>8</v>
      </c>
      <c r="C129">
        <v>1.3859999999999999</v>
      </c>
    </row>
    <row r="130" spans="1:3" x14ac:dyDescent="0.25">
      <c r="A130">
        <v>2001</v>
      </c>
      <c r="B130">
        <v>9</v>
      </c>
      <c r="C130">
        <v>1.506</v>
      </c>
    </row>
    <row r="131" spans="1:3" x14ac:dyDescent="0.25">
      <c r="A131">
        <v>2001</v>
      </c>
      <c r="B131">
        <v>10</v>
      </c>
      <c r="C131">
        <v>1.274</v>
      </c>
    </row>
    <row r="132" spans="1:3" x14ac:dyDescent="0.25">
      <c r="A132">
        <v>2001</v>
      </c>
      <c r="B132">
        <v>11</v>
      </c>
      <c r="C132">
        <v>1.139</v>
      </c>
    </row>
    <row r="133" spans="1:3" x14ac:dyDescent="0.25">
      <c r="A133">
        <v>2001</v>
      </c>
      <c r="B133">
        <v>12</v>
      </c>
      <c r="C133">
        <v>1.0720000000000001</v>
      </c>
    </row>
    <row r="134" spans="1:3" x14ac:dyDescent="0.25">
      <c r="A134">
        <v>2002</v>
      </c>
      <c r="B134">
        <v>1</v>
      </c>
      <c r="C134">
        <v>1.0940000000000001</v>
      </c>
    </row>
    <row r="135" spans="1:3" x14ac:dyDescent="0.25">
      <c r="A135">
        <v>2002</v>
      </c>
      <c r="B135">
        <v>2</v>
      </c>
      <c r="C135">
        <v>1.0900000000000001</v>
      </c>
    </row>
    <row r="136" spans="1:3" x14ac:dyDescent="0.25">
      <c r="A136">
        <v>2002</v>
      </c>
      <c r="B136">
        <v>3</v>
      </c>
      <c r="C136">
        <v>1.2210000000000001</v>
      </c>
    </row>
    <row r="137" spans="1:3" x14ac:dyDescent="0.25">
      <c r="A137">
        <v>2002</v>
      </c>
      <c r="B137">
        <v>4</v>
      </c>
      <c r="C137">
        <v>1.3620000000000001</v>
      </c>
    </row>
    <row r="138" spans="1:3" x14ac:dyDescent="0.25">
      <c r="A138">
        <v>2002</v>
      </c>
      <c r="B138">
        <v>5</v>
      </c>
      <c r="C138">
        <v>1.353</v>
      </c>
    </row>
    <row r="139" spans="1:3" x14ac:dyDescent="0.25">
      <c r="A139">
        <v>2002</v>
      </c>
      <c r="B139">
        <v>6</v>
      </c>
      <c r="C139">
        <v>1.341</v>
      </c>
    </row>
    <row r="140" spans="1:3" x14ac:dyDescent="0.25">
      <c r="A140">
        <v>2002</v>
      </c>
      <c r="B140">
        <v>7</v>
      </c>
      <c r="C140">
        <v>1.3640000000000001</v>
      </c>
    </row>
    <row r="141" spans="1:3" x14ac:dyDescent="0.25">
      <c r="A141">
        <v>2002</v>
      </c>
      <c r="B141">
        <v>8</v>
      </c>
      <c r="C141">
        <v>1.3580000000000001</v>
      </c>
    </row>
    <row r="142" spans="1:3" x14ac:dyDescent="0.25">
      <c r="A142">
        <v>2002</v>
      </c>
      <c r="B142">
        <v>9</v>
      </c>
      <c r="C142">
        <v>1.363</v>
      </c>
    </row>
    <row r="143" spans="1:3" x14ac:dyDescent="0.25">
      <c r="A143">
        <v>2002</v>
      </c>
      <c r="B143">
        <v>10</v>
      </c>
      <c r="C143">
        <v>1.427</v>
      </c>
    </row>
    <row r="144" spans="1:3" x14ac:dyDescent="0.25">
      <c r="A144">
        <v>2002</v>
      </c>
      <c r="B144">
        <v>11</v>
      </c>
      <c r="C144">
        <v>1.385</v>
      </c>
    </row>
    <row r="145" spans="1:3" x14ac:dyDescent="0.25">
      <c r="A145">
        <v>2002</v>
      </c>
      <c r="B145">
        <v>12</v>
      </c>
      <c r="C145">
        <v>1.3480000000000001</v>
      </c>
    </row>
    <row r="146" spans="1:3" x14ac:dyDescent="0.25">
      <c r="A146">
        <v>2003</v>
      </c>
      <c r="B146">
        <v>1</v>
      </c>
      <c r="C146">
        <v>1.4239999999999999</v>
      </c>
    </row>
    <row r="147" spans="1:3" x14ac:dyDescent="0.25">
      <c r="A147">
        <v>2003</v>
      </c>
      <c r="B147">
        <v>2</v>
      </c>
      <c r="C147">
        <v>1.5820000000000001</v>
      </c>
    </row>
    <row r="148" spans="1:3" x14ac:dyDescent="0.25">
      <c r="A148">
        <v>2003</v>
      </c>
      <c r="B148">
        <v>3</v>
      </c>
      <c r="C148">
        <v>1.6359999999999999</v>
      </c>
    </row>
    <row r="149" spans="1:3" x14ac:dyDescent="0.25">
      <c r="A149">
        <v>2003</v>
      </c>
      <c r="B149">
        <v>4</v>
      </c>
      <c r="C149">
        <v>1.5169999999999999</v>
      </c>
    </row>
    <row r="150" spans="1:3" x14ac:dyDescent="0.25">
      <c r="A150">
        <v>2003</v>
      </c>
      <c r="B150">
        <v>5</v>
      </c>
      <c r="C150">
        <v>1.4379999999999999</v>
      </c>
    </row>
    <row r="151" spans="1:3" x14ac:dyDescent="0.25">
      <c r="A151">
        <v>2003</v>
      </c>
      <c r="B151">
        <v>6</v>
      </c>
      <c r="C151">
        <v>1.452</v>
      </c>
    </row>
    <row r="152" spans="1:3" x14ac:dyDescent="0.25">
      <c r="A152">
        <v>2003</v>
      </c>
      <c r="B152">
        <v>7</v>
      </c>
      <c r="C152">
        <v>1.48</v>
      </c>
    </row>
    <row r="153" spans="1:3" x14ac:dyDescent="0.25">
      <c r="A153">
        <v>2003</v>
      </c>
      <c r="B153">
        <v>8</v>
      </c>
      <c r="C153">
        <v>1.5880000000000001</v>
      </c>
    </row>
    <row r="154" spans="1:3" x14ac:dyDescent="0.25">
      <c r="A154">
        <v>2003</v>
      </c>
      <c r="B154">
        <v>9</v>
      </c>
      <c r="C154">
        <v>1.6160000000000001</v>
      </c>
    </row>
    <row r="155" spans="1:3" x14ac:dyDescent="0.25">
      <c r="A155">
        <v>2003</v>
      </c>
      <c r="B155">
        <v>10</v>
      </c>
      <c r="C155">
        <v>1.5129999999999999</v>
      </c>
    </row>
    <row r="156" spans="1:3" x14ac:dyDescent="0.25">
      <c r="A156">
        <v>2003</v>
      </c>
      <c r="B156">
        <v>11</v>
      </c>
      <c r="C156">
        <v>1.474</v>
      </c>
    </row>
    <row r="157" spans="1:3" x14ac:dyDescent="0.25">
      <c r="A157">
        <v>2003</v>
      </c>
      <c r="B157">
        <v>12</v>
      </c>
      <c r="C157">
        <v>1.448</v>
      </c>
    </row>
    <row r="158" spans="1:3" x14ac:dyDescent="0.25">
      <c r="A158">
        <v>2004</v>
      </c>
      <c r="B158">
        <v>1</v>
      </c>
      <c r="C158">
        <v>1.5549999999999999</v>
      </c>
    </row>
    <row r="159" spans="1:3" x14ac:dyDescent="0.25">
      <c r="A159">
        <v>2004</v>
      </c>
      <c r="B159">
        <v>2</v>
      </c>
      <c r="C159">
        <v>1.615</v>
      </c>
    </row>
    <row r="160" spans="1:3" x14ac:dyDescent="0.25">
      <c r="A160">
        <v>2004</v>
      </c>
      <c r="B160">
        <v>3</v>
      </c>
      <c r="C160">
        <v>1.6890000000000001</v>
      </c>
    </row>
    <row r="161" spans="1:3" x14ac:dyDescent="0.25">
      <c r="A161">
        <v>2004</v>
      </c>
      <c r="B161">
        <v>4</v>
      </c>
      <c r="C161">
        <v>1.756</v>
      </c>
    </row>
    <row r="162" spans="1:3" x14ac:dyDescent="0.25">
      <c r="A162">
        <v>2004</v>
      </c>
      <c r="B162">
        <v>5</v>
      </c>
      <c r="C162">
        <v>1.9450000000000001</v>
      </c>
    </row>
    <row r="163" spans="1:3" x14ac:dyDescent="0.25">
      <c r="A163">
        <v>2004</v>
      </c>
      <c r="B163">
        <v>6</v>
      </c>
      <c r="C163">
        <v>1.91</v>
      </c>
    </row>
    <row r="164" spans="1:3" x14ac:dyDescent="0.25">
      <c r="A164">
        <v>2004</v>
      </c>
      <c r="B164">
        <v>7</v>
      </c>
      <c r="C164">
        <v>1.863</v>
      </c>
    </row>
    <row r="165" spans="1:3" x14ac:dyDescent="0.25">
      <c r="A165">
        <v>2004</v>
      </c>
      <c r="B165">
        <v>8</v>
      </c>
      <c r="C165">
        <v>1.8420000000000001</v>
      </c>
    </row>
    <row r="166" spans="1:3" x14ac:dyDescent="0.25">
      <c r="A166">
        <v>2004</v>
      </c>
      <c r="B166">
        <v>9</v>
      </c>
      <c r="C166">
        <v>1.841</v>
      </c>
    </row>
    <row r="167" spans="1:3" x14ac:dyDescent="0.25">
      <c r="A167">
        <v>2004</v>
      </c>
      <c r="B167">
        <v>10</v>
      </c>
      <c r="C167">
        <v>1.954</v>
      </c>
    </row>
    <row r="168" spans="1:3" x14ac:dyDescent="0.25">
      <c r="A168">
        <v>2004</v>
      </c>
      <c r="B168">
        <v>11</v>
      </c>
      <c r="C168">
        <v>1.9319999999999999</v>
      </c>
    </row>
    <row r="169" spans="1:3" x14ac:dyDescent="0.25">
      <c r="A169">
        <v>2004</v>
      </c>
      <c r="B169">
        <v>12</v>
      </c>
      <c r="C169">
        <v>1.8</v>
      </c>
    </row>
    <row r="170" spans="1:3" x14ac:dyDescent="0.25">
      <c r="A170">
        <v>2005</v>
      </c>
      <c r="B170">
        <v>1</v>
      </c>
      <c r="C170">
        <v>1.8109999999999999</v>
      </c>
    </row>
    <row r="171" spans="1:3" x14ac:dyDescent="0.25">
      <c r="A171">
        <v>2005</v>
      </c>
      <c r="B171">
        <v>2</v>
      </c>
      <c r="C171">
        <v>1.8859999999999999</v>
      </c>
    </row>
    <row r="172" spans="1:3" x14ac:dyDescent="0.25">
      <c r="A172">
        <v>2005</v>
      </c>
      <c r="B172">
        <v>3</v>
      </c>
      <c r="C172">
        <v>2.0630000000000002</v>
      </c>
    </row>
    <row r="173" spans="1:3" x14ac:dyDescent="0.25">
      <c r="A173">
        <v>2005</v>
      </c>
      <c r="B173">
        <v>4</v>
      </c>
      <c r="C173">
        <v>2.2109999999999999</v>
      </c>
    </row>
    <row r="174" spans="1:3" x14ac:dyDescent="0.25">
      <c r="A174">
        <v>2005</v>
      </c>
      <c r="B174">
        <v>5</v>
      </c>
      <c r="C174">
        <v>2.1139999999999999</v>
      </c>
    </row>
    <row r="175" spans="1:3" x14ac:dyDescent="0.25">
      <c r="A175">
        <v>2005</v>
      </c>
      <c r="B175">
        <v>6</v>
      </c>
      <c r="C175">
        <v>2.1230000000000002</v>
      </c>
    </row>
    <row r="176" spans="1:3" x14ac:dyDescent="0.25">
      <c r="A176">
        <v>2005</v>
      </c>
      <c r="B176">
        <v>7</v>
      </c>
      <c r="C176">
        <v>2.2469999999999999</v>
      </c>
    </row>
    <row r="177" spans="1:3" x14ac:dyDescent="0.25">
      <c r="A177">
        <v>2005</v>
      </c>
      <c r="B177">
        <v>8</v>
      </c>
      <c r="C177">
        <v>2.4489999999999998</v>
      </c>
    </row>
    <row r="178" spans="1:3" x14ac:dyDescent="0.25">
      <c r="A178">
        <v>2005</v>
      </c>
      <c r="B178">
        <v>9</v>
      </c>
      <c r="C178">
        <v>2.8620000000000001</v>
      </c>
    </row>
    <row r="179" spans="1:3" x14ac:dyDescent="0.25">
      <c r="A179">
        <v>2005</v>
      </c>
      <c r="B179">
        <v>10</v>
      </c>
      <c r="C179">
        <v>2.6890000000000001</v>
      </c>
    </row>
    <row r="180" spans="1:3" x14ac:dyDescent="0.25">
      <c r="A180">
        <v>2005</v>
      </c>
      <c r="B180">
        <v>11</v>
      </c>
      <c r="C180">
        <v>2.222</v>
      </c>
    </row>
    <row r="181" spans="1:3" x14ac:dyDescent="0.25">
      <c r="A181">
        <v>2005</v>
      </c>
      <c r="B181">
        <v>12</v>
      </c>
      <c r="C181">
        <v>2.1739999999999999</v>
      </c>
    </row>
    <row r="182" spans="1:3" x14ac:dyDescent="0.25">
      <c r="A182">
        <v>2006</v>
      </c>
      <c r="B182">
        <v>1</v>
      </c>
      <c r="C182">
        <v>2.2999999999999998</v>
      </c>
    </row>
    <row r="183" spans="1:3" x14ac:dyDescent="0.25">
      <c r="A183">
        <v>2006</v>
      </c>
      <c r="B183">
        <v>2</v>
      </c>
      <c r="C183">
        <v>2.2490000000000001</v>
      </c>
    </row>
    <row r="184" spans="1:3" x14ac:dyDescent="0.25">
      <c r="A184">
        <v>2006</v>
      </c>
      <c r="B184">
        <v>3</v>
      </c>
      <c r="C184">
        <v>2.4129999999999998</v>
      </c>
    </row>
    <row r="185" spans="1:3" x14ac:dyDescent="0.25">
      <c r="A185">
        <v>2006</v>
      </c>
      <c r="B185">
        <v>4</v>
      </c>
      <c r="C185">
        <v>2.7189999999999999</v>
      </c>
    </row>
    <row r="186" spans="1:3" x14ac:dyDescent="0.25">
      <c r="A186">
        <v>2006</v>
      </c>
      <c r="B186">
        <v>5</v>
      </c>
      <c r="C186">
        <v>2.831</v>
      </c>
    </row>
    <row r="187" spans="1:3" x14ac:dyDescent="0.25">
      <c r="A187">
        <v>2006</v>
      </c>
      <c r="B187">
        <v>6</v>
      </c>
      <c r="C187">
        <v>2.8079999999999998</v>
      </c>
    </row>
    <row r="188" spans="1:3" x14ac:dyDescent="0.25">
      <c r="A188">
        <v>2006</v>
      </c>
      <c r="B188">
        <v>7</v>
      </c>
      <c r="C188">
        <v>2.923</v>
      </c>
    </row>
    <row r="189" spans="1:3" x14ac:dyDescent="0.25">
      <c r="A189">
        <v>2006</v>
      </c>
      <c r="B189">
        <v>8</v>
      </c>
      <c r="C189">
        <v>2.91</v>
      </c>
    </row>
    <row r="190" spans="1:3" x14ac:dyDescent="0.25">
      <c r="A190">
        <v>2006</v>
      </c>
      <c r="B190">
        <v>9</v>
      </c>
      <c r="C190">
        <v>2.5009999999999999</v>
      </c>
    </row>
    <row r="191" spans="1:3" x14ac:dyDescent="0.25">
      <c r="A191">
        <v>2006</v>
      </c>
      <c r="B191">
        <v>10</v>
      </c>
      <c r="C191">
        <v>2.214</v>
      </c>
    </row>
    <row r="192" spans="1:3" x14ac:dyDescent="0.25">
      <c r="A192">
        <v>2006</v>
      </c>
      <c r="B192">
        <v>11</v>
      </c>
      <c r="C192">
        <v>2.2109999999999999</v>
      </c>
    </row>
    <row r="193" spans="1:3" x14ac:dyDescent="0.25">
      <c r="A193">
        <v>2006</v>
      </c>
      <c r="B193">
        <v>12</v>
      </c>
      <c r="C193">
        <v>2.2839999999999998</v>
      </c>
    </row>
    <row r="194" spans="1:3" x14ac:dyDescent="0.25">
      <c r="A194">
        <v>2007</v>
      </c>
      <c r="B194">
        <v>1</v>
      </c>
      <c r="C194">
        <v>2.1909999999999998</v>
      </c>
    </row>
    <row r="195" spans="1:3" x14ac:dyDescent="0.25">
      <c r="A195">
        <v>2007</v>
      </c>
      <c r="B195">
        <v>2</v>
      </c>
      <c r="C195">
        <v>2.2349999999999999</v>
      </c>
    </row>
    <row r="196" spans="1:3" x14ac:dyDescent="0.25">
      <c r="A196">
        <v>2007</v>
      </c>
      <c r="B196">
        <v>3</v>
      </c>
      <c r="C196">
        <v>2.5030000000000001</v>
      </c>
    </row>
    <row r="197" spans="1:3" x14ac:dyDescent="0.25">
      <c r="A197">
        <v>2007</v>
      </c>
      <c r="B197">
        <v>4</v>
      </c>
      <c r="C197">
        <v>2.7869999999999999</v>
      </c>
    </row>
    <row r="198" spans="1:3" x14ac:dyDescent="0.25">
      <c r="A198">
        <v>2007</v>
      </c>
      <c r="B198">
        <v>5</v>
      </c>
      <c r="C198">
        <v>3.1190000000000002</v>
      </c>
    </row>
    <row r="199" spans="1:3" x14ac:dyDescent="0.25">
      <c r="A199">
        <v>2007</v>
      </c>
      <c r="B199">
        <v>6</v>
      </c>
      <c r="C199">
        <v>3.024</v>
      </c>
    </row>
    <row r="200" spans="1:3" x14ac:dyDescent="0.25">
      <c r="A200">
        <v>2007</v>
      </c>
      <c r="B200">
        <v>7</v>
      </c>
      <c r="C200">
        <v>2.9470000000000001</v>
      </c>
    </row>
    <row r="201" spans="1:3" x14ac:dyDescent="0.25">
      <c r="A201">
        <v>2007</v>
      </c>
      <c r="B201">
        <v>8</v>
      </c>
      <c r="C201">
        <v>2.7770000000000001</v>
      </c>
    </row>
    <row r="202" spans="1:3" x14ac:dyDescent="0.25">
      <c r="A202">
        <v>2007</v>
      </c>
      <c r="B202">
        <v>9</v>
      </c>
      <c r="C202">
        <v>2.8170000000000002</v>
      </c>
    </row>
    <row r="203" spans="1:3" x14ac:dyDescent="0.25">
      <c r="A203">
        <v>2007</v>
      </c>
      <c r="B203">
        <v>10</v>
      </c>
      <c r="C203">
        <v>2.7909999999999999</v>
      </c>
    </row>
    <row r="204" spans="1:3" x14ac:dyDescent="0.25">
      <c r="A204">
        <v>2007</v>
      </c>
      <c r="B204">
        <v>11</v>
      </c>
      <c r="C204">
        <v>3.0640000000000001</v>
      </c>
    </row>
    <row r="205" spans="1:3" x14ac:dyDescent="0.25">
      <c r="A205">
        <v>2007</v>
      </c>
      <c r="B205">
        <v>12</v>
      </c>
      <c r="C205">
        <v>2.984</v>
      </c>
    </row>
    <row r="206" spans="1:3" x14ac:dyDescent="0.25">
      <c r="A206">
        <v>2008</v>
      </c>
      <c r="B206">
        <v>1</v>
      </c>
      <c r="C206">
        <v>3.0179999999999998</v>
      </c>
    </row>
    <row r="207" spans="1:3" x14ac:dyDescent="0.25">
      <c r="A207">
        <v>2008</v>
      </c>
      <c r="B207">
        <v>2</v>
      </c>
      <c r="C207">
        <v>3.016</v>
      </c>
    </row>
    <row r="208" spans="1:3" x14ac:dyDescent="0.25">
      <c r="A208">
        <v>2008</v>
      </c>
      <c r="B208">
        <v>3</v>
      </c>
      <c r="C208">
        <v>3.2149999999999999</v>
      </c>
    </row>
    <row r="209" spans="1:3" x14ac:dyDescent="0.25">
      <c r="A209">
        <v>2008</v>
      </c>
      <c r="B209">
        <v>4</v>
      </c>
      <c r="C209">
        <v>3.4209999999999998</v>
      </c>
    </row>
    <row r="210" spans="1:3" x14ac:dyDescent="0.25">
      <c r="A210">
        <v>2008</v>
      </c>
      <c r="B210">
        <v>5</v>
      </c>
      <c r="C210">
        <v>3.7349999999999999</v>
      </c>
    </row>
    <row r="211" spans="1:3" x14ac:dyDescent="0.25">
      <c r="A211">
        <v>2008</v>
      </c>
      <c r="B211">
        <v>6</v>
      </c>
      <c r="C211">
        <v>3.9889999999999999</v>
      </c>
    </row>
    <row r="212" spans="1:3" x14ac:dyDescent="0.25">
      <c r="A212">
        <v>2008</v>
      </c>
      <c r="B212">
        <v>7</v>
      </c>
      <c r="C212">
        <v>4.0019999999999998</v>
      </c>
    </row>
    <row r="213" spans="1:3" x14ac:dyDescent="0.25">
      <c r="A213">
        <v>2008</v>
      </c>
      <c r="B213">
        <v>8</v>
      </c>
      <c r="C213">
        <v>3.74</v>
      </c>
    </row>
    <row r="214" spans="1:3" x14ac:dyDescent="0.25">
      <c r="A214">
        <v>2008</v>
      </c>
      <c r="B214">
        <v>9</v>
      </c>
      <c r="C214">
        <v>3.7090000000000001</v>
      </c>
    </row>
    <row r="215" spans="1:3" x14ac:dyDescent="0.25">
      <c r="A215">
        <v>2008</v>
      </c>
      <c r="B215">
        <v>10</v>
      </c>
      <c r="C215">
        <v>3.01</v>
      </c>
    </row>
    <row r="216" spans="1:3" x14ac:dyDescent="0.25">
      <c r="A216">
        <v>2008</v>
      </c>
      <c r="B216">
        <v>11</v>
      </c>
      <c r="C216">
        <v>2.0990000000000002</v>
      </c>
    </row>
    <row r="217" spans="1:3" x14ac:dyDescent="0.25">
      <c r="A217">
        <v>2008</v>
      </c>
      <c r="B217">
        <v>12</v>
      </c>
      <c r="C217">
        <v>1.669</v>
      </c>
    </row>
    <row r="218" spans="1:3" x14ac:dyDescent="0.25">
      <c r="A218">
        <v>2009</v>
      </c>
      <c r="B218">
        <v>1</v>
      </c>
      <c r="C218">
        <v>1.772</v>
      </c>
    </row>
    <row r="219" spans="1:3" x14ac:dyDescent="0.25">
      <c r="A219">
        <v>2009</v>
      </c>
      <c r="B219">
        <v>2</v>
      </c>
      <c r="C219">
        <v>1.8919999999999999</v>
      </c>
    </row>
    <row r="220" spans="1:3" x14ac:dyDescent="0.25">
      <c r="A220">
        <v>2009</v>
      </c>
      <c r="B220">
        <v>3</v>
      </c>
      <c r="C220">
        <v>1.615</v>
      </c>
    </row>
    <row r="221" spans="1:3" x14ac:dyDescent="0.25">
      <c r="A221">
        <v>2009</v>
      </c>
      <c r="B221">
        <v>4</v>
      </c>
      <c r="C221">
        <v>2.0209999999999999</v>
      </c>
    </row>
    <row r="222" spans="1:3" x14ac:dyDescent="0.25">
      <c r="A222">
        <v>2009</v>
      </c>
      <c r="B222">
        <v>5</v>
      </c>
      <c r="C222">
        <v>2.2400000000000002</v>
      </c>
    </row>
    <row r="223" spans="1:3" x14ac:dyDescent="0.25">
      <c r="A223">
        <v>2009</v>
      </c>
      <c r="B223">
        <v>6</v>
      </c>
      <c r="C223">
        <v>2.597</v>
      </c>
    </row>
    <row r="224" spans="1:3" x14ac:dyDescent="0.25">
      <c r="A224">
        <v>2009</v>
      </c>
      <c r="B224">
        <v>7</v>
      </c>
      <c r="C224">
        <v>2.4780000000000002</v>
      </c>
    </row>
    <row r="225" spans="1:3" x14ac:dyDescent="0.25">
      <c r="A225">
        <v>2009</v>
      </c>
      <c r="B225">
        <v>8</v>
      </c>
      <c r="C225">
        <v>2.5619999999999998</v>
      </c>
    </row>
    <row r="226" spans="1:3" x14ac:dyDescent="0.25">
      <c r="A226">
        <v>2009</v>
      </c>
      <c r="B226">
        <v>9</v>
      </c>
      <c r="C226">
        <v>2.48</v>
      </c>
    </row>
    <row r="227" spans="1:3" x14ac:dyDescent="0.25">
      <c r="A227">
        <v>2009</v>
      </c>
      <c r="B227">
        <v>10</v>
      </c>
      <c r="C227">
        <v>2</v>
      </c>
    </row>
    <row r="228" spans="1:3" x14ac:dyDescent="0.25">
      <c r="A228">
        <v>2009</v>
      </c>
      <c r="B228">
        <v>11</v>
      </c>
      <c r="C228">
        <v>2.6139999999999999</v>
      </c>
    </row>
    <row r="229" spans="1:3" x14ac:dyDescent="0.25">
      <c r="A229">
        <v>2009</v>
      </c>
      <c r="B229">
        <v>12</v>
      </c>
      <c r="C229">
        <v>2.5680000000000001</v>
      </c>
    </row>
    <row r="230" spans="1:3" x14ac:dyDescent="0.25">
      <c r="A230">
        <v>2010</v>
      </c>
      <c r="B230">
        <v>1</v>
      </c>
      <c r="C230">
        <v>2.6779999999999999</v>
      </c>
    </row>
    <row r="231" spans="1:3" x14ac:dyDescent="0.25">
      <c r="A231">
        <v>2010</v>
      </c>
      <c r="B231">
        <v>2</v>
      </c>
      <c r="C231">
        <v>2.6030000000000002</v>
      </c>
    </row>
    <row r="232" spans="1:3" x14ac:dyDescent="0.25">
      <c r="A232">
        <v>2010</v>
      </c>
      <c r="B232">
        <v>3</v>
      </c>
      <c r="C232">
        <v>2.742</v>
      </c>
    </row>
    <row r="233" spans="1:3" x14ac:dyDescent="0.25">
      <c r="A233">
        <v>2010</v>
      </c>
      <c r="B233">
        <v>4</v>
      </c>
      <c r="C233">
        <v>2.8180000000000001</v>
      </c>
    </row>
    <row r="234" spans="1:3" x14ac:dyDescent="0.25">
      <c r="A234">
        <v>2010</v>
      </c>
      <c r="B234">
        <v>5</v>
      </c>
      <c r="C234">
        <v>2.33</v>
      </c>
    </row>
    <row r="235" spans="1:3" x14ac:dyDescent="0.25">
      <c r="A235">
        <v>2010</v>
      </c>
      <c r="B235">
        <v>6</v>
      </c>
      <c r="C235">
        <v>2.6840000000000002</v>
      </c>
    </row>
    <row r="236" spans="1:3" x14ac:dyDescent="0.25">
      <c r="A236">
        <v>2010</v>
      </c>
      <c r="B236">
        <v>7</v>
      </c>
      <c r="C236">
        <v>2.6789999999999998</v>
      </c>
    </row>
    <row r="237" spans="1:3" x14ac:dyDescent="0.25">
      <c r="A237">
        <v>2010</v>
      </c>
      <c r="B237">
        <v>8</v>
      </c>
      <c r="C237">
        <v>2.6829999999999998</v>
      </c>
    </row>
    <row r="238" spans="1:3" x14ac:dyDescent="0.25">
      <c r="A238">
        <v>2010</v>
      </c>
      <c r="B238">
        <v>9</v>
      </c>
      <c r="C238">
        <v>2.6779999999999999</v>
      </c>
    </row>
    <row r="239" spans="1:3" x14ac:dyDescent="0.25">
      <c r="A239">
        <v>2010</v>
      </c>
      <c r="B239">
        <v>10</v>
      </c>
      <c r="C239">
        <v>2.766</v>
      </c>
    </row>
    <row r="240" spans="1:3" x14ac:dyDescent="0.25">
      <c r="A240">
        <v>2010</v>
      </c>
      <c r="B240">
        <v>11</v>
      </c>
      <c r="C240">
        <v>2.8149999999999999</v>
      </c>
    </row>
    <row r="241" spans="1:3" x14ac:dyDescent="0.25">
      <c r="A241">
        <v>2010</v>
      </c>
      <c r="B241">
        <v>12</v>
      </c>
      <c r="C241">
        <v>2.3610000000000002</v>
      </c>
    </row>
    <row r="242" spans="1:3" x14ac:dyDescent="0.25">
      <c r="A242">
        <v>2011</v>
      </c>
      <c r="B242">
        <v>1</v>
      </c>
      <c r="C242">
        <v>3.0579999999999998</v>
      </c>
    </row>
    <row r="243" spans="1:3" x14ac:dyDescent="0.25">
      <c r="A243">
        <v>2011</v>
      </c>
      <c r="B243">
        <v>2</v>
      </c>
      <c r="C243">
        <v>3.1680000000000001</v>
      </c>
    </row>
    <row r="244" spans="1:3" x14ac:dyDescent="0.25">
      <c r="A244">
        <v>2011</v>
      </c>
      <c r="B244">
        <v>3</v>
      </c>
      <c r="C244">
        <v>3.5089999999999999</v>
      </c>
    </row>
    <row r="245" spans="1:3" x14ac:dyDescent="0.25">
      <c r="A245">
        <v>2011</v>
      </c>
      <c r="B245">
        <v>4</v>
      </c>
      <c r="C245">
        <v>3.746</v>
      </c>
    </row>
    <row r="246" spans="1:3" x14ac:dyDescent="0.25">
      <c r="A246">
        <v>2011</v>
      </c>
      <c r="B246">
        <v>5</v>
      </c>
      <c r="C246">
        <v>3.8490000000000002</v>
      </c>
    </row>
    <row r="247" spans="1:3" x14ac:dyDescent="0.25">
      <c r="A247">
        <v>2011</v>
      </c>
      <c r="B247">
        <v>6</v>
      </c>
      <c r="C247">
        <v>3.6280000000000001</v>
      </c>
    </row>
    <row r="248" spans="1:3" x14ac:dyDescent="0.25">
      <c r="A248">
        <v>2011</v>
      </c>
      <c r="B248">
        <v>7</v>
      </c>
      <c r="C248">
        <v>2.891</v>
      </c>
    </row>
    <row r="249" spans="1:3" x14ac:dyDescent="0.25">
      <c r="A249">
        <v>2011</v>
      </c>
      <c r="B249">
        <v>8</v>
      </c>
      <c r="C249">
        <v>3.6120000000000001</v>
      </c>
    </row>
    <row r="250" spans="1:3" x14ac:dyDescent="0.25">
      <c r="A250">
        <v>2011</v>
      </c>
      <c r="B250">
        <v>9</v>
      </c>
      <c r="C250">
        <v>3.573</v>
      </c>
    </row>
    <row r="251" spans="1:3" x14ac:dyDescent="0.25">
      <c r="A251">
        <v>2011</v>
      </c>
      <c r="B251">
        <v>10</v>
      </c>
      <c r="C251">
        <v>3.4</v>
      </c>
    </row>
    <row r="252" spans="1:3" x14ac:dyDescent="0.25">
      <c r="A252">
        <v>2011</v>
      </c>
      <c r="B252">
        <v>11</v>
      </c>
      <c r="C252">
        <v>3.33</v>
      </c>
    </row>
    <row r="253" spans="1:3" x14ac:dyDescent="0.25">
      <c r="A253">
        <v>2011</v>
      </c>
      <c r="B253">
        <v>12</v>
      </c>
      <c r="C253">
        <v>3.22</v>
      </c>
    </row>
    <row r="254" spans="1:3" x14ac:dyDescent="0.25">
      <c r="A254">
        <v>2012</v>
      </c>
      <c r="B254">
        <v>1</v>
      </c>
      <c r="C254">
        <v>3.33</v>
      </c>
    </row>
    <row r="255" spans="1:3" x14ac:dyDescent="0.25">
      <c r="A255">
        <v>2012</v>
      </c>
      <c r="B255">
        <v>2</v>
      </c>
      <c r="C255">
        <v>2.8130000000000002</v>
      </c>
    </row>
    <row r="256" spans="1:3" x14ac:dyDescent="0.25">
      <c r="A256">
        <v>2012</v>
      </c>
      <c r="B256">
        <v>3</v>
      </c>
      <c r="C256">
        <v>3.774</v>
      </c>
    </row>
    <row r="257" spans="1:3" x14ac:dyDescent="0.25">
      <c r="A257">
        <v>2012</v>
      </c>
      <c r="B257">
        <v>4</v>
      </c>
      <c r="C257">
        <v>3.8370000000000002</v>
      </c>
    </row>
    <row r="258" spans="1:3" x14ac:dyDescent="0.25">
      <c r="A258">
        <v>2012</v>
      </c>
      <c r="B258">
        <v>5</v>
      </c>
      <c r="C258">
        <v>3.6429999999999998</v>
      </c>
    </row>
    <row r="259" spans="1:3" x14ac:dyDescent="0.25">
      <c r="A259">
        <v>2012</v>
      </c>
      <c r="B259">
        <v>6</v>
      </c>
      <c r="C259">
        <v>3.4649999999999999</v>
      </c>
    </row>
    <row r="260" spans="1:3" x14ac:dyDescent="0.25">
      <c r="A260">
        <v>2012</v>
      </c>
      <c r="B260">
        <v>7</v>
      </c>
      <c r="C260">
        <v>3.379</v>
      </c>
    </row>
    <row r="261" spans="1:3" x14ac:dyDescent="0.25">
      <c r="A261">
        <v>2012</v>
      </c>
      <c r="B261">
        <v>8</v>
      </c>
      <c r="C261">
        <v>3.6680000000000001</v>
      </c>
    </row>
    <row r="262" spans="1:3" x14ac:dyDescent="0.25">
      <c r="A262">
        <v>2012</v>
      </c>
      <c r="B262">
        <v>9</v>
      </c>
      <c r="C262">
        <v>3.0409999999999999</v>
      </c>
    </row>
    <row r="263" spans="1:3" x14ac:dyDescent="0.25">
      <c r="A263">
        <v>2012</v>
      </c>
      <c r="B263">
        <v>10</v>
      </c>
      <c r="C263">
        <v>3.653</v>
      </c>
    </row>
    <row r="264" spans="1:3" x14ac:dyDescent="0.25">
      <c r="A264">
        <v>2012</v>
      </c>
      <c r="B264">
        <v>11</v>
      </c>
      <c r="C264">
        <v>3.38</v>
      </c>
    </row>
    <row r="265" spans="1:3" x14ac:dyDescent="0.25">
      <c r="A265">
        <v>2012</v>
      </c>
      <c r="B265">
        <v>12</v>
      </c>
      <c r="C265">
        <v>3.2559999999999998</v>
      </c>
    </row>
    <row r="266" spans="1:3" x14ac:dyDescent="0.25">
      <c r="A266">
        <v>2013</v>
      </c>
      <c r="B266">
        <v>1</v>
      </c>
      <c r="C266">
        <v>3.2549999999999999</v>
      </c>
    </row>
    <row r="267" spans="1:3" x14ac:dyDescent="0.25">
      <c r="A267">
        <v>2013</v>
      </c>
      <c r="B267">
        <v>2</v>
      </c>
      <c r="C267">
        <v>3.605</v>
      </c>
    </row>
    <row r="268" spans="1:3" x14ac:dyDescent="0.25">
      <c r="A268">
        <v>2013</v>
      </c>
      <c r="B268">
        <v>3</v>
      </c>
      <c r="C268">
        <v>3.6480000000000001</v>
      </c>
    </row>
    <row r="269" spans="1:3" x14ac:dyDescent="0.25">
      <c r="A269">
        <v>2013</v>
      </c>
      <c r="B269">
        <v>4</v>
      </c>
      <c r="C269">
        <v>2.9180000000000001</v>
      </c>
    </row>
    <row r="270" spans="1:3" x14ac:dyDescent="0.25">
      <c r="A270">
        <v>2013</v>
      </c>
      <c r="B270">
        <v>5</v>
      </c>
      <c r="C270">
        <v>3.5649999999999999</v>
      </c>
    </row>
    <row r="271" spans="1:3" x14ac:dyDescent="0.25">
      <c r="A271">
        <v>2013</v>
      </c>
      <c r="B271">
        <v>6</v>
      </c>
      <c r="C271">
        <v>3.5760000000000001</v>
      </c>
    </row>
    <row r="272" spans="1:3" x14ac:dyDescent="0.25">
      <c r="A272">
        <v>2013</v>
      </c>
      <c r="B272">
        <v>7</v>
      </c>
      <c r="C272">
        <v>3.5150000000000001</v>
      </c>
    </row>
    <row r="273" spans="1:3" x14ac:dyDescent="0.25">
      <c r="A273">
        <v>2013</v>
      </c>
      <c r="B273">
        <v>8</v>
      </c>
      <c r="C273">
        <v>3.5150000000000001</v>
      </c>
    </row>
    <row r="274" spans="1:3" x14ac:dyDescent="0.25">
      <c r="A274">
        <v>2013</v>
      </c>
      <c r="B274">
        <v>9</v>
      </c>
      <c r="C274">
        <v>3.4740000000000002</v>
      </c>
    </row>
    <row r="275" spans="1:3" x14ac:dyDescent="0.25">
      <c r="A275">
        <v>2013</v>
      </c>
      <c r="B275">
        <v>10</v>
      </c>
      <c r="C275">
        <v>3.2850000000000001</v>
      </c>
    </row>
    <row r="276" spans="1:3" x14ac:dyDescent="0.25">
      <c r="A276">
        <v>2013</v>
      </c>
      <c r="B276">
        <v>11</v>
      </c>
      <c r="C276">
        <v>2.5489999999999999</v>
      </c>
    </row>
    <row r="277" spans="1:3" x14ac:dyDescent="0.25">
      <c r="A277">
        <v>2013</v>
      </c>
      <c r="B277">
        <v>12</v>
      </c>
      <c r="C277">
        <v>3.2090000000000001</v>
      </c>
    </row>
    <row r="278" spans="1:3" x14ac:dyDescent="0.25">
      <c r="A278">
        <v>2014</v>
      </c>
      <c r="B278">
        <v>1</v>
      </c>
      <c r="C278">
        <v>3.2519999999999998</v>
      </c>
    </row>
    <row r="279" spans="1:3" x14ac:dyDescent="0.25">
      <c r="A279">
        <v>2014</v>
      </c>
      <c r="B279">
        <v>2</v>
      </c>
      <c r="C279">
        <v>3.3050000000000002</v>
      </c>
    </row>
    <row r="280" spans="1:3" x14ac:dyDescent="0.25">
      <c r="A280">
        <v>2014</v>
      </c>
      <c r="B280">
        <v>3</v>
      </c>
      <c r="C280">
        <v>3.4740000000000002</v>
      </c>
    </row>
    <row r="281" spans="1:3" x14ac:dyDescent="0.25">
      <c r="A281">
        <v>2014</v>
      </c>
      <c r="B281">
        <v>4</v>
      </c>
      <c r="C281">
        <v>3.59</v>
      </c>
    </row>
    <row r="282" spans="1:3" x14ac:dyDescent="0.25">
      <c r="A282">
        <v>2014</v>
      </c>
      <c r="B282">
        <v>5</v>
      </c>
      <c r="C282">
        <v>3.601</v>
      </c>
    </row>
    <row r="283" spans="1:3" x14ac:dyDescent="0.25">
      <c r="A283">
        <v>2014</v>
      </c>
      <c r="B283">
        <v>6</v>
      </c>
      <c r="C283">
        <v>3.0219999999999998</v>
      </c>
    </row>
    <row r="284" spans="1:3" x14ac:dyDescent="0.25">
      <c r="A284">
        <v>2014</v>
      </c>
      <c r="B284">
        <v>7</v>
      </c>
      <c r="C284">
        <v>3.5390000000000001</v>
      </c>
    </row>
    <row r="285" spans="1:3" x14ac:dyDescent="0.25">
      <c r="A285">
        <v>2014</v>
      </c>
      <c r="B285">
        <v>8</v>
      </c>
      <c r="C285">
        <v>3.4249999999999998</v>
      </c>
    </row>
    <row r="286" spans="1:3" x14ac:dyDescent="0.25">
      <c r="A286">
        <v>2014</v>
      </c>
      <c r="B286">
        <v>9</v>
      </c>
      <c r="C286">
        <v>3.3540000000000001</v>
      </c>
    </row>
    <row r="287" spans="1:3" x14ac:dyDescent="0.25">
      <c r="A287">
        <v>2014</v>
      </c>
      <c r="B287">
        <v>10</v>
      </c>
      <c r="C287">
        <v>3.12</v>
      </c>
    </row>
    <row r="288" spans="1:3" x14ac:dyDescent="0.25">
      <c r="A288">
        <v>2014</v>
      </c>
      <c r="B288">
        <v>11</v>
      </c>
      <c r="C288">
        <v>2.875</v>
      </c>
    </row>
    <row r="289" spans="1:3" x14ac:dyDescent="0.25">
      <c r="A289">
        <v>2014</v>
      </c>
      <c r="B289">
        <v>12</v>
      </c>
      <c r="C289">
        <v>2.488</v>
      </c>
    </row>
    <row r="290" spans="1:3" x14ac:dyDescent="0.25">
      <c r="A290">
        <v>2015</v>
      </c>
      <c r="B290">
        <v>1</v>
      </c>
      <c r="C290">
        <v>1.637</v>
      </c>
    </row>
    <row r="291" spans="1:3" x14ac:dyDescent="0.25">
      <c r="A291">
        <v>2015</v>
      </c>
      <c r="B291">
        <v>2</v>
      </c>
      <c r="C291">
        <v>2.1520000000000001</v>
      </c>
    </row>
    <row r="292" spans="1:3" x14ac:dyDescent="0.25">
      <c r="A292">
        <v>2015</v>
      </c>
      <c r="B292">
        <v>3</v>
      </c>
      <c r="C292">
        <v>2.3519999999999999</v>
      </c>
    </row>
    <row r="293" spans="1:3" x14ac:dyDescent="0.25">
      <c r="A293">
        <v>2015</v>
      </c>
      <c r="B293">
        <v>4</v>
      </c>
      <c r="C293">
        <v>2.3690000000000002</v>
      </c>
    </row>
    <row r="294" spans="1:3" x14ac:dyDescent="0.25">
      <c r="A294">
        <v>2015</v>
      </c>
      <c r="B294">
        <v>5</v>
      </c>
      <c r="C294">
        <v>2.5779999999999998</v>
      </c>
    </row>
    <row r="295" spans="1:3" x14ac:dyDescent="0.25">
      <c r="A295">
        <v>2015</v>
      </c>
      <c r="B295">
        <v>6</v>
      </c>
      <c r="C295">
        <v>2.7</v>
      </c>
    </row>
    <row r="296" spans="1:3" x14ac:dyDescent="0.25">
      <c r="A296">
        <v>2015</v>
      </c>
      <c r="B296">
        <v>7</v>
      </c>
      <c r="C296">
        <v>2.6659999999999999</v>
      </c>
    </row>
    <row r="297" spans="1:3" x14ac:dyDescent="0.25">
      <c r="A297">
        <v>2015</v>
      </c>
      <c r="B297">
        <v>8</v>
      </c>
      <c r="C297">
        <v>2.101</v>
      </c>
    </row>
    <row r="298" spans="1:3" x14ac:dyDescent="0.25">
      <c r="A298">
        <v>2015</v>
      </c>
      <c r="B298">
        <v>9</v>
      </c>
      <c r="C298">
        <v>2.2749999999999999</v>
      </c>
    </row>
    <row r="299" spans="1:3" x14ac:dyDescent="0.25">
      <c r="A299">
        <v>2015</v>
      </c>
      <c r="B299">
        <v>10</v>
      </c>
      <c r="C299">
        <v>2.23</v>
      </c>
    </row>
    <row r="300" spans="1:3" x14ac:dyDescent="0.25">
      <c r="A300">
        <v>2015</v>
      </c>
      <c r="B300">
        <v>11</v>
      </c>
      <c r="C300">
        <v>2.0880000000000001</v>
      </c>
    </row>
    <row r="301" spans="1:3" x14ac:dyDescent="0.25">
      <c r="A301">
        <v>2015</v>
      </c>
      <c r="B301">
        <v>12</v>
      </c>
      <c r="C301">
        <v>1.946</v>
      </c>
    </row>
    <row r="302" spans="1:3" x14ac:dyDescent="0.25">
      <c r="A302">
        <v>2016</v>
      </c>
      <c r="B302">
        <v>1</v>
      </c>
      <c r="C302">
        <v>1.843</v>
      </c>
    </row>
    <row r="303" spans="1:3" x14ac:dyDescent="0.25">
      <c r="A303">
        <v>2016</v>
      </c>
      <c r="B303">
        <v>2</v>
      </c>
      <c r="C303">
        <v>1.681</v>
      </c>
    </row>
    <row r="304" spans="1:3" x14ac:dyDescent="0.25">
      <c r="A304">
        <v>2016</v>
      </c>
      <c r="B304">
        <v>3</v>
      </c>
      <c r="C304">
        <v>1.516</v>
      </c>
    </row>
    <row r="305" spans="1:3" x14ac:dyDescent="0.25">
      <c r="A305">
        <v>2016</v>
      </c>
      <c r="B305">
        <v>4</v>
      </c>
      <c r="C305">
        <v>2.0270000000000001</v>
      </c>
    </row>
    <row r="306" spans="1:3" x14ac:dyDescent="0.25">
      <c r="A306">
        <v>2016</v>
      </c>
      <c r="B306">
        <v>5</v>
      </c>
      <c r="C306">
        <v>2.1989999999999998</v>
      </c>
    </row>
    <row r="307" spans="1:3" x14ac:dyDescent="0.25">
      <c r="A307">
        <v>2016</v>
      </c>
      <c r="B307">
        <v>6</v>
      </c>
      <c r="C307">
        <v>2.3029999999999999</v>
      </c>
    </row>
    <row r="308" spans="1:3" x14ac:dyDescent="0.25">
      <c r="A308">
        <v>2016</v>
      </c>
      <c r="B308">
        <v>7</v>
      </c>
      <c r="C308">
        <v>2.157</v>
      </c>
    </row>
    <row r="309" spans="1:3" x14ac:dyDescent="0.25">
      <c r="A309">
        <v>2016</v>
      </c>
      <c r="B309">
        <v>8</v>
      </c>
      <c r="C309">
        <v>2.1190000000000002</v>
      </c>
    </row>
    <row r="310" spans="1:3" x14ac:dyDescent="0.25">
      <c r="A310">
        <v>2016</v>
      </c>
      <c r="B310">
        <v>9</v>
      </c>
      <c r="C310">
        <v>2.161</v>
      </c>
    </row>
    <row r="311" spans="1:3" x14ac:dyDescent="0.25">
      <c r="A311">
        <v>2016</v>
      </c>
      <c r="B311">
        <v>10</v>
      </c>
      <c r="C311">
        <v>1.8220000000000001</v>
      </c>
    </row>
    <row r="312" spans="1:3" x14ac:dyDescent="0.25">
      <c r="A312">
        <v>2016</v>
      </c>
      <c r="B312">
        <v>11</v>
      </c>
      <c r="C312">
        <v>2.105</v>
      </c>
    </row>
    <row r="313" spans="1:3" x14ac:dyDescent="0.25">
      <c r="A313">
        <v>2016</v>
      </c>
      <c r="B313">
        <v>12</v>
      </c>
      <c r="C313">
        <v>2.1920000000000002</v>
      </c>
    </row>
    <row r="314" spans="1:3" x14ac:dyDescent="0.25">
      <c r="A314">
        <v>2017</v>
      </c>
      <c r="B314">
        <v>1</v>
      </c>
      <c r="C314">
        <v>2.2850000000000001</v>
      </c>
    </row>
    <row r="315" spans="1:3" x14ac:dyDescent="0.25">
      <c r="A315">
        <v>2017</v>
      </c>
      <c r="B315">
        <v>2</v>
      </c>
      <c r="C315">
        <v>2.2269999999999999</v>
      </c>
    </row>
    <row r="316" spans="1:3" x14ac:dyDescent="0.25">
      <c r="A316">
        <v>2017</v>
      </c>
      <c r="B316">
        <v>3</v>
      </c>
      <c r="C316">
        <v>2.2429999999999999</v>
      </c>
    </row>
    <row r="317" spans="1:3" x14ac:dyDescent="0.25">
      <c r="A317">
        <v>2017</v>
      </c>
      <c r="B317">
        <v>4</v>
      </c>
      <c r="C317">
        <v>2.34</v>
      </c>
    </row>
    <row r="318" spans="1:3" x14ac:dyDescent="0.25">
      <c r="A318">
        <v>2017</v>
      </c>
      <c r="B318">
        <v>5</v>
      </c>
      <c r="C318">
        <v>1.919</v>
      </c>
    </row>
    <row r="319" spans="1:3" x14ac:dyDescent="0.25">
      <c r="A319">
        <v>2017</v>
      </c>
      <c r="B319">
        <v>6</v>
      </c>
      <c r="C319">
        <v>2.2570000000000001</v>
      </c>
    </row>
    <row r="320" spans="1:3" x14ac:dyDescent="0.25">
      <c r="A320">
        <v>2017</v>
      </c>
      <c r="B320">
        <v>7</v>
      </c>
      <c r="C320">
        <v>2.2109999999999999</v>
      </c>
    </row>
    <row r="321" spans="1:3" x14ac:dyDescent="0.25">
      <c r="A321">
        <v>2017</v>
      </c>
      <c r="B321">
        <v>8</v>
      </c>
      <c r="C321">
        <v>2.2970000000000002</v>
      </c>
    </row>
    <row r="322" spans="1:3" x14ac:dyDescent="0.25">
      <c r="A322">
        <v>2017</v>
      </c>
      <c r="B322">
        <v>9</v>
      </c>
      <c r="C322">
        <v>2.57</v>
      </c>
    </row>
    <row r="323" spans="1:3" x14ac:dyDescent="0.25">
      <c r="A323">
        <v>2017</v>
      </c>
      <c r="B323">
        <v>10</v>
      </c>
      <c r="C323">
        <v>2.4300000000000002</v>
      </c>
    </row>
    <row r="324" spans="1:3" x14ac:dyDescent="0.25">
      <c r="A324">
        <v>2017</v>
      </c>
      <c r="B324">
        <v>11</v>
      </c>
      <c r="C324">
        <v>2.4740000000000002</v>
      </c>
    </row>
    <row r="325" spans="1:3" x14ac:dyDescent="0.25">
      <c r="A325">
        <v>2017</v>
      </c>
      <c r="B325">
        <v>12</v>
      </c>
      <c r="C325">
        <v>1.911</v>
      </c>
    </row>
    <row r="326" spans="1:3" x14ac:dyDescent="0.25">
      <c r="A326">
        <v>2018</v>
      </c>
      <c r="B326">
        <v>1</v>
      </c>
      <c r="C326">
        <v>2.4670000000000001</v>
      </c>
    </row>
    <row r="327" spans="1:3" x14ac:dyDescent="0.25">
      <c r="A327">
        <v>2018</v>
      </c>
      <c r="B327">
        <v>2</v>
      </c>
      <c r="C327">
        <v>2.488</v>
      </c>
    </row>
    <row r="328" spans="1:3" x14ac:dyDescent="0.25">
      <c r="A328">
        <v>2018</v>
      </c>
      <c r="B328">
        <v>3</v>
      </c>
      <c r="C328">
        <v>2.488</v>
      </c>
    </row>
    <row r="329" spans="1:3" x14ac:dyDescent="0.25">
      <c r="A329">
        <v>2018</v>
      </c>
      <c r="B329">
        <v>4</v>
      </c>
      <c r="C329">
        <v>2.6520000000000001</v>
      </c>
    </row>
    <row r="330" spans="1:3" x14ac:dyDescent="0.25">
      <c r="A330">
        <v>2018</v>
      </c>
      <c r="B330">
        <v>5</v>
      </c>
      <c r="C330">
        <v>2.8079999999999998</v>
      </c>
    </row>
    <row r="331" spans="1:3" x14ac:dyDescent="0.25">
      <c r="A331">
        <v>2018</v>
      </c>
      <c r="B331">
        <v>6</v>
      </c>
      <c r="C331">
        <v>2.802</v>
      </c>
    </row>
    <row r="332" spans="1:3" x14ac:dyDescent="0.25">
      <c r="A332">
        <v>2018</v>
      </c>
      <c r="B332">
        <v>7</v>
      </c>
      <c r="C332">
        <v>2.77</v>
      </c>
    </row>
    <row r="333" spans="1:3" x14ac:dyDescent="0.25">
      <c r="A333">
        <v>2018</v>
      </c>
      <c r="B333">
        <v>8</v>
      </c>
      <c r="C333">
        <v>2.7679999999999998</v>
      </c>
    </row>
    <row r="334" spans="1:3" x14ac:dyDescent="0.25">
      <c r="A334">
        <v>2018</v>
      </c>
      <c r="B334">
        <v>9</v>
      </c>
      <c r="C334">
        <v>2.7690000000000001</v>
      </c>
    </row>
    <row r="335" spans="1:3" x14ac:dyDescent="0.25">
      <c r="A335">
        <v>2018</v>
      </c>
      <c r="B335">
        <v>10</v>
      </c>
      <c r="C335">
        <v>2.7850000000000001</v>
      </c>
    </row>
    <row r="336" spans="1:3" x14ac:dyDescent="0.25">
      <c r="A336">
        <v>2018</v>
      </c>
      <c r="B336">
        <v>11</v>
      </c>
      <c r="C336">
        <v>2.5609999999999999</v>
      </c>
    </row>
    <row r="337" spans="1:3" x14ac:dyDescent="0.25">
      <c r="A337">
        <v>2018</v>
      </c>
      <c r="B337">
        <v>12</v>
      </c>
      <c r="C337">
        <v>2.2629999999999999</v>
      </c>
    </row>
    <row r="338" spans="1:3" x14ac:dyDescent="0.25">
      <c r="A338">
        <v>2019</v>
      </c>
      <c r="B338">
        <v>1</v>
      </c>
      <c r="C338">
        <v>2.145</v>
      </c>
    </row>
    <row r="339" spans="1:3" x14ac:dyDescent="0.25">
      <c r="A339">
        <v>2019</v>
      </c>
      <c r="B339">
        <v>2</v>
      </c>
      <c r="C339">
        <v>2.2229999999999999</v>
      </c>
    </row>
    <row r="340" spans="1:3" x14ac:dyDescent="0.25">
      <c r="A340">
        <v>2019</v>
      </c>
      <c r="B340">
        <v>3</v>
      </c>
      <c r="C340">
        <v>2.4430000000000001</v>
      </c>
    </row>
    <row r="341" spans="1:3" x14ac:dyDescent="0.25">
      <c r="A341">
        <v>2019</v>
      </c>
      <c r="B341">
        <v>4</v>
      </c>
      <c r="C341">
        <v>2.694</v>
      </c>
    </row>
    <row r="342" spans="1:3" x14ac:dyDescent="0.25">
      <c r="A342">
        <v>2019</v>
      </c>
      <c r="B342">
        <v>5</v>
      </c>
      <c r="C342">
        <v>2.7309999999999999</v>
      </c>
    </row>
    <row r="343" spans="1:3" x14ac:dyDescent="0.25">
      <c r="A343">
        <v>2019</v>
      </c>
      <c r="B343">
        <v>6</v>
      </c>
      <c r="C343">
        <v>2.601</v>
      </c>
    </row>
    <row r="344" spans="1:3" x14ac:dyDescent="0.25">
      <c r="A344">
        <v>2019</v>
      </c>
      <c r="B344">
        <v>7</v>
      </c>
      <c r="C344">
        <v>2.64</v>
      </c>
    </row>
    <row r="345" spans="1:3" x14ac:dyDescent="0.25">
      <c r="A345">
        <v>2019</v>
      </c>
      <c r="B345">
        <v>8</v>
      </c>
      <c r="C345">
        <v>2.5209999999999999</v>
      </c>
    </row>
    <row r="346" spans="1:3" x14ac:dyDescent="0.25">
      <c r="A346">
        <v>2019</v>
      </c>
      <c r="B346">
        <v>9</v>
      </c>
      <c r="C346">
        <v>2.4889999999999999</v>
      </c>
    </row>
    <row r="347" spans="1:3" x14ac:dyDescent="0.25">
      <c r="A347">
        <v>2019</v>
      </c>
      <c r="B347">
        <v>10</v>
      </c>
      <c r="C347">
        <v>2.4969999999999999</v>
      </c>
    </row>
    <row r="348" spans="1:3" x14ac:dyDescent="0.25">
      <c r="A348">
        <v>2019</v>
      </c>
      <c r="B348">
        <v>11</v>
      </c>
      <c r="C348">
        <v>2.48</v>
      </c>
    </row>
    <row r="349" spans="1:3" x14ac:dyDescent="0.25">
      <c r="A349">
        <v>2019</v>
      </c>
      <c r="B349">
        <v>12</v>
      </c>
      <c r="C349">
        <v>2.4689999999999999</v>
      </c>
    </row>
    <row r="350" spans="1:3" x14ac:dyDescent="0.25">
      <c r="A350">
        <v>2020</v>
      </c>
      <c r="B350">
        <v>1</v>
      </c>
      <c r="C350">
        <v>2.4590000000000001</v>
      </c>
    </row>
    <row r="351" spans="1:3" x14ac:dyDescent="0.25">
      <c r="A351">
        <v>2020</v>
      </c>
      <c r="B351">
        <v>2</v>
      </c>
      <c r="C351">
        <v>2.3479999999999999</v>
      </c>
    </row>
    <row r="352" spans="1:3" x14ac:dyDescent="0.25">
      <c r="A352">
        <v>2020</v>
      </c>
      <c r="B352">
        <v>3</v>
      </c>
      <c r="C352">
        <v>2.1259999999999999</v>
      </c>
    </row>
    <row r="353" spans="1:3" x14ac:dyDescent="0.25">
      <c r="A353">
        <v>2020</v>
      </c>
      <c r="B353">
        <v>4</v>
      </c>
      <c r="C353">
        <v>1.7210000000000001</v>
      </c>
    </row>
    <row r="354" spans="1:3" x14ac:dyDescent="0.25">
      <c r="A354">
        <v>2020</v>
      </c>
      <c r="B354">
        <v>5</v>
      </c>
      <c r="C354">
        <v>1.7689999999999999</v>
      </c>
    </row>
    <row r="355" spans="1:3" x14ac:dyDescent="0.25">
      <c r="A355">
        <v>2020</v>
      </c>
      <c r="B355">
        <v>6</v>
      </c>
      <c r="C355">
        <v>1.998</v>
      </c>
    </row>
    <row r="356" spans="1:3" x14ac:dyDescent="0.25">
      <c r="A356">
        <v>2020</v>
      </c>
      <c r="B356">
        <v>7</v>
      </c>
      <c r="C356">
        <v>2.0990000000000002</v>
      </c>
    </row>
    <row r="357" spans="1:3" x14ac:dyDescent="0.25">
      <c r="A357">
        <v>2020</v>
      </c>
      <c r="B357">
        <v>8</v>
      </c>
      <c r="C357">
        <v>2.093</v>
      </c>
    </row>
    <row r="358" spans="1:3" x14ac:dyDescent="0.25">
      <c r="A358">
        <v>2020</v>
      </c>
      <c r="B358">
        <v>9</v>
      </c>
      <c r="C358">
        <v>2.0950000000000002</v>
      </c>
    </row>
    <row r="359" spans="1:3" x14ac:dyDescent="0.25">
      <c r="A359">
        <v>2020</v>
      </c>
      <c r="B359">
        <v>10</v>
      </c>
      <c r="C359">
        <v>2.0910000000000002</v>
      </c>
    </row>
    <row r="360" spans="1:3" x14ac:dyDescent="0.25">
      <c r="A360">
        <v>2020</v>
      </c>
      <c r="B360">
        <v>11</v>
      </c>
      <c r="C360">
        <v>2.093</v>
      </c>
    </row>
    <row r="361" spans="1:3" x14ac:dyDescent="0.25">
      <c r="A361">
        <v>2020</v>
      </c>
      <c r="B361">
        <v>12</v>
      </c>
      <c r="C361">
        <v>2.2250000000000001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GSS</vt:lpstr>
      <vt:lpstr>Laptop</vt:lpstr>
      <vt:lpstr>Workforce-IT</vt:lpstr>
      <vt:lpstr>Health</vt:lpstr>
      <vt:lpstr>Millennials_bar_pie</vt:lpstr>
      <vt:lpstr>Poker-Age</vt:lpstr>
      <vt:lpstr>Bills</vt:lpstr>
      <vt:lpstr>returns</vt:lpstr>
      <vt:lpstr>marks</vt:lpstr>
      <vt:lpstr>gasoline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GOTHERWAL</dc:creator>
  <cp:lastModifiedBy>206stud080014</cp:lastModifiedBy>
  <dcterms:created xsi:type="dcterms:W3CDTF">2015-06-05T18:17:20Z</dcterms:created>
  <dcterms:modified xsi:type="dcterms:W3CDTF">2026-09-09T09:22:15Z</dcterms:modified>
</cp:coreProperties>
</file>